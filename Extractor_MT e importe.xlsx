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gar" sheetId="1" state="visible" r:id="rId3"/>
    <sheet name="Extractor M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<sst xmlns="http://schemas.openxmlformats.org/spreadsheetml/2006/main" count="19" uniqueCount="19">
  <si>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PEGAR AQUÍ (columna A, desde A3): todas las tiras juntas</t>
  </si>
  <si>
    <t xml:space="preserve">Nº tira</t>
  </si>
  <si>
    <t xml:space="preserve">Pegá todo de una vez en A3. Cada línea cae en una fila y la hoja 'Extractor MT' arma sola una fila por tira.</t>
  </si>
  <si>
    <t xml:space="preserve">(fila de apoyo, no borrar)</t>
  </si>
  <si>
    <t xml:space="preserve">Antes de pegar nuevas tiras, borrá las anteriores (seleccioná A3:A1002 y Supr).</t>
  </si>
  <si>
    <t xml:space="preserve">-1809 1809 4.52 D2323 001 10002 MT262610076000010000247</t>
  </si>
  <si>
    <t xml:space="preserve">DESC=FACEBK *A3UD482JP4 MENLO PARK CA AUTH=R45349</t>
  </si>
  <si>
    <t xml:space="preserve">-1809 1809 0.00 D2323 001 10002 MT262610076000010000248</t>
  </si>
  <si>
    <t xml:space="preserve">DESC=TEST</t>
  </si>
  <si>
    <t xml:space="preserve">-1809 1809 D2323 001 10002 MT262610076000010000249</t>
  </si>
  <si>
    <t xml:space="preserve">DESC=SIN IMPORTE</t>
  </si>
  <si>
    <t xml:space="preserve">Extractor de MT: pegá la tira completa y obtené solo el MT</t>
  </si>
  <si>
    <t xml:space="preserve">Esta hoja se llena sola: pegá las tiras en la hoja 'Pegar'. Acá no hay que escribir nada.</t>
  </si>
  <si>
    <t xml:space="preserve">Tira de la transacción (automática)</t>
  </si>
  <si>
    <t xml:space="preserve">MT</t>
  </si>
  <si>
    <t xml:space="preserve">¿Tiene importe?</t>
  </si>
  <si>
    <t xml:space="preserve">Importe detectado</t>
  </si>
  <si>
    <t xml:space="preserve">Supuesto: el importe es el número con punto decimal (ej. 4.52) de la primera línea de la tira. Tiene importe = VERDADERO si existe y es distinto de 0.</t>
  </si>
  <si>
    <t xml:space="preserve">La columna D muestra el número que se tomó como importe, para que verifiques.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</si>
</sst>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5" hidden="false" customHeight="false" outlineLevel="0" collapsed="false">
      <c r="A2" s="3" t="s">
        <v>3</v>
      </c>
      <c r="D2" s="2" t="s">
        <v>4</v>
      </c>
    </row>
    <row r="3" customFormat="false" ht="15" hidden="false" customHeight="false" outlineLevel="0" collapsed="false">
      <c r="A3" s="4" t="s">
        <v>5</v>
      </c>
      <c r="B3" s="5" t="n">
        <f aca="false">IF(AND(TRIM(A3)&lt;&gt;"",ISNUMBER(FIND(" MT"," "&amp;A3)),LEFT(A3,5)&lt;&gt;"DESC="),MAX(B$2:B2)+1,"")</f>
        <v>1</v>
      </c>
    </row>
    <row r="4" customFormat="false" ht="15" hidden="false" customHeight="false" outlineLevel="0" collapsed="false">
      <c r="A4" s="4" t="s">
        <v>6</v>
      </c>
      <c r="B4" s="5" t="str">
        <f aca="false">IF(AND(TRIM(A4)&lt;&gt;"",ISNUMBER(FIND(" MT"," "&amp;A4)),LEFT(A4,5)&lt;&gt;"DESC="),MAX(B$2:B3)+1,"")</f>
        <v/>
      </c>
    </row>
    <row r="5" customFormat="false" ht="15" hidden="false" customHeight="false" outlineLevel="0" collapsed="false">
      <c r="A5" s="4" t="s">
        <v>7</v>
      </c>
      <c r="B5" s="5" t="n">
        <f aca="false">IF(AND(TRIM(A5)&lt;&gt;"",ISNUMBER(FIND(" MT"," "&amp;A5)),LEFT(A5,5)&lt;&gt;"DESC="),MAX(B$2:B4)+1,"")</f>
        <v>2</v>
      </c>
    </row>
    <row r="6" customFormat="false" ht="15" hidden="false" customHeight="false" outlineLevel="0" collapsed="false">
      <c r="A6" s="4" t="s">
        <v>8</v>
      </c>
      <c r="B6" s="5" t="str">
        <f aca="false">IF(AND(TRIM(A6)&lt;&gt;"",ISNUMBER(FIND(" MT"," "&amp;A6)),LEFT(A6,5)&lt;&gt;"DESC="),MAX(B$2:B5)+1,"")</f>
        <v/>
      </c>
    </row>
    <row r="7" customFormat="false" ht="15" hidden="false" customHeight="false" outlineLevel="0" collapsed="false">
      <c r="A7" s="4" t="s">
        <v>9</v>
      </c>
      <c r="B7" s="5" t="n">
        <f aca="false">IF(AND(TRIM(A7)&lt;&gt;"",ISNUMBER(FIND(" MT"," "&amp;A7)),LEFT(A7,5)&lt;&gt;"DESC="),MAX(B$2:B6)+1,"")</f>
        <v>3</v>
      </c>
    </row>
    <row r="8" customFormat="false" ht="15" hidden="false" customHeight="false" outlineLevel="0" collapsed="false">
      <c r="A8" s="4" t="s">
        <v>10</v>
      </c>
      <c r="B8" s="5" t="str">
        <f aca="false">IF(AND(TRIM(A8)&lt;&gt;"",ISNUMBER(FIND(" MT"," "&amp;A8)),LEFT(A8,5)&lt;&gt;"DESC="),MAX(B$2:B7)+1,"")</f>
        <v/>
      </c>
    </row>
    <row r="9" customFormat="false" ht="15" hidden="false" customHeight="false" outlineLevel="0" collapsed="false">
      <c r="A9" s="4"/>
      <c r="B9" s="5" t="str">
        <f aca="false">IF(AND(TRIM(A9)&lt;&gt;"",ISNUMBER(FIND(" MT"," "&amp;A9)),LEFT(A9,5)&lt;&gt;"DESC="),MAX(B$2:B8)+1,"")</f>
        <v/>
      </c>
    </row>
    <row r="10" customFormat="false" ht="15" hidden="false" customHeight="false" outlineLevel="0" collapsed="false">
      <c r="A10" s="4"/>
      <c r="B10" s="5" t="str">
        <f aca="false">IF(AND(TRIM(A10)&lt;&gt;"",ISNUMBER(FIND(" MT"," "&amp;A10)),LEFT(A10,5)&lt;&gt;"DESC="),MAX(B$2:B9)+1,"")</f>
        <v/>
      </c>
    </row>
    <row r="11" customFormat="false" ht="15" hidden="false" customHeight="false" outlineLevel="0" collapsed="false">
      <c r="A11" s="4"/>
      <c r="B11" s="5" t="str">
        <f aca="false">IF(AND(TRIM(A11)&lt;&gt;"",ISNUMBER(FIND(" MT"," "&amp;A11)),LEFT(A11,5)&lt;&gt;"DESC="),MAX(B$2:B10)+1,"")</f>
        <v/>
      </c>
    </row>
    <row r="12" customFormat="false" ht="15" hidden="false" customHeight="false" outlineLevel="0" collapsed="false">
      <c r="A12" s="4"/>
      <c r="B12" s="5" t="str">
        <f aca="false">IF(AND(TRIM(A12)&lt;&gt;"",ISNUMBER(FIND(" MT"," "&amp;A12)),LEFT(A12,5)&lt;&gt;"DESC="),MAX(B$2:B11)+1,"")</f>
        <v/>
      </c>
    </row>
    <row r="13" customFormat="false" ht="15" hidden="false" customHeight="false" outlineLevel="0" collapsed="false">
      <c r="A13" s="4"/>
      <c r="B13" s="5" t="str">
        <f aca="false">IF(AND(TRIM(A13)&lt;&gt;"",ISNUMBER(FIND(" MT"," "&amp;A13)),LEFT(A13,5)&lt;&gt;"DESC="),MAX(B$2:B12)+1,"")</f>
        <v/>
      </c>
    </row>
    <row r="14" customFormat="false" ht="15" hidden="false" customHeight="false" outlineLevel="0" collapsed="false">
      <c r="A14" s="4"/>
      <c r="B14" s="5" t="str">
        <f aca="false">IF(AND(TRIM(A14)&lt;&gt;"",ISNUMBER(FIND(" MT"," "&amp;A14)),LEFT(A14,5)&lt;&gt;"DESC="),MAX(B$2:B13)+1,"")</f>
        <v/>
      </c>
    </row>
    <row r="15" customFormat="false" ht="15" hidden="false" customHeight="false" outlineLevel="0" collapsed="false">
      <c r="A15" s="4"/>
      <c r="B15" s="5" t="str">
        <f aca="false">IF(AND(TRIM(A15)&lt;&gt;"",ISNUMBER(FIND(" MT"," "&amp;A15)),LEFT(A15,5)&lt;&gt;"DESC="),MAX(B$2:B14)+1,"")</f>
        <v/>
      </c>
    </row>
    <row r="16" customFormat="false" ht="15" hidden="false" customHeight="false" outlineLevel="0" collapsed="false">
      <c r="A16" s="4"/>
      <c r="B16" s="5" t="str">
        <f aca="false">IF(AND(TRIM(A16)&lt;&gt;"",ISNUMBER(FIND(" MT"," "&amp;A16)),LEFT(A16,5)&lt;&gt;"DESC="),MAX(B$2:B15)+1,"")</f>
        <v/>
      </c>
    </row>
    <row r="17" customFormat="false" ht="15" hidden="false" customHeight="false" outlineLevel="0" collapsed="false">
      <c r="A17" s="4"/>
      <c r="B17" s="5" t="str">
        <f aca="false">IF(AND(TRIM(A17)&lt;&gt;"",ISNUMBER(FIND(" MT"," "&amp;A17)),LEFT(A17,5)&lt;&gt;"DESC="),MAX(B$2:B16)+1,"")</f>
        <v/>
      </c>
    </row>
    <row r="18" customFormat="false" ht="15" hidden="false" customHeight="false" outlineLevel="0" collapsed="false">
      <c r="A18" s="4"/>
      <c r="B18" s="5" t="str">
        <f aca="false">IF(AND(TRIM(A18)&lt;&gt;"",ISNUMBER(FIND(" MT"," "&amp;A18)),LEFT(A18,5)&lt;&gt;"DESC="),MAX(B$2:B17)+1,"")</f>
        <v/>
      </c>
    </row>
    <row r="19" customFormat="false" ht="15" hidden="false" customHeight="false" outlineLevel="0" collapsed="false">
      <c r="A19" s="4"/>
      <c r="B19" s="5" t="str">
        <f aca="false">IF(AND(TRIM(A19)&lt;&gt;"",ISNUMBER(FIND(" MT"," "&amp;A19)),LEFT(A19,5)&lt;&gt;"DESC="),MAX(B$2:B18)+1,"")</f>
        <v/>
      </c>
    </row>
    <row r="20" customFormat="false" ht="15" hidden="false" customHeight="false" outlineLevel="0" collapsed="false">
      <c r="A20" s="4"/>
      <c r="B20" s="5" t="str">
        <f aca="false">IF(AND(TRIM(A20)&lt;&gt;"",ISNUMBER(FIND(" MT"," "&amp;A20)),LEFT(A20,5)&lt;&gt;"DESC="),MAX(B$2:B19)+1,"")</f>
        <v/>
      </c>
    </row>
    <row r="21" customFormat="false" ht="15" hidden="false" customHeight="false" outlineLevel="0" collapsed="false">
      <c r="A21" s="4"/>
      <c r="B21" s="5" t="str">
        <f aca="false">IF(AND(TRIM(A21)&lt;&gt;"",ISNUMBER(FIND(" MT"," "&amp;A21)),LEFT(A21,5)&lt;&gt;"DESC="),MAX(B$2:B20)+1,"")</f>
        <v/>
      </c>
    </row>
    <row r="22" customFormat="false" ht="15" hidden="false" customHeight="false" outlineLevel="0" collapsed="false">
      <c r="A22" s="4"/>
      <c r="B22" s="5" t="str">
        <f aca="false">IF(AND(TRIM(A22)&lt;&gt;"",ISNUMBER(FIND(" MT"," "&amp;A22)),LEFT(A22,5)&lt;&gt;"DESC="),MAX(B$2:B21)+1,"")</f>
        <v/>
      </c>
    </row>
    <row r="23" customFormat="false" ht="15" hidden="false" customHeight="false" outlineLevel="0" collapsed="false">
      <c r="A23" s="4"/>
      <c r="B23" s="5" t="str">
        <f aca="false">IF(AND(TRIM(A23)&lt;&gt;"",ISNUMBER(FIND(" MT"," "&amp;A23)),LEFT(A23,5)&lt;&gt;"DESC="),MAX(B$2:B22)+1,"")</f>
        <v/>
      </c>
    </row>
    <row r="24" customFormat="false" ht="15" hidden="false" customHeight="false" outlineLevel="0" collapsed="false">
      <c r="A24" s="4"/>
      <c r="B24" s="5" t="str">
        <f aca="false">IF(AND(TRIM(A24)&lt;&gt;"",ISNUMBER(FIND(" MT"," "&amp;A24)),LEFT(A24,5)&lt;&gt;"DESC="),MAX(B$2:B23)+1,"")</f>
        <v/>
      </c>
    </row>
    <row r="25" customFormat="false" ht="15" hidden="false" customHeight="false" outlineLevel="0" collapsed="false">
      <c r="A25" s="4"/>
      <c r="B25" s="5" t="str">
        <f aca="false">IF(AND(TRIM(A25)&lt;&gt;"",ISNUMBER(FIND(" MT"," "&amp;A25)),LEFT(A25,5)&lt;&gt;"DESC="),MAX(B$2:B24)+1,"")</f>
        <v/>
      </c>
    </row>
    <row r="26" customFormat="false" ht="15" hidden="false" customHeight="false" outlineLevel="0" collapsed="false">
      <c r="A26" s="4"/>
      <c r="B26" s="5" t="str">
        <f aca="false">IF(AND(TRIM(A26)&lt;&gt;"",ISNUMBER(FIND(" MT"," "&amp;A26)),LEFT(A26,5)&lt;&gt;"DESC="),MAX(B$2:B25)+1,"")</f>
        <v/>
      </c>
    </row>
    <row r="27" customFormat="false" ht="15" hidden="false" customHeight="false" outlineLevel="0" collapsed="false">
      <c r="A27" s="4"/>
      <c r="B27" s="5" t="str">
        <f aca="false">IF(AND(TRIM(A27)&lt;&gt;"",ISNUMBER(FIND(" MT"," "&amp;A27)),LEFT(A27,5)&lt;&gt;"DESC="),MAX(B$2:B26)+1,"")</f>
        <v/>
      </c>
    </row>
    <row r="28" customFormat="false" ht="15" hidden="false" customHeight="false" outlineLevel="0" collapsed="false">
      <c r="A28" s="4"/>
      <c r="B28" s="5" t="str">
        <f aca="false">IF(AND(TRIM(A28)&lt;&gt;"",ISNUMBER(FIND(" MT"," "&amp;A28)),LEFT(A28,5)&lt;&gt;"DESC="),MAX(B$2:B27)+1,"")</f>
        <v/>
      </c>
    </row>
    <row r="29" customFormat="false" ht="15" hidden="false" customHeight="false" outlineLevel="0" collapsed="false">
      <c r="A29" s="4"/>
      <c r="B29" s="5" t="str">
        <f aca="false">IF(AND(TRIM(A29)&lt;&gt;"",ISNUMBER(FIND(" MT"," "&amp;A29)),LEFT(A29,5)&lt;&gt;"DESC="),MAX(B$2:B28)+1,"")</f>
        <v/>
      </c>
    </row>
    <row r="30" customFormat="false" ht="15" hidden="false" customHeight="false" outlineLevel="0" collapsed="false">
      <c r="A30" s="4"/>
      <c r="B30" s="5" t="str">
        <f aca="false">IF(AND(TRIM(A30)&lt;&gt;"",ISNUMBER(FIND(" MT"," "&amp;A30)),LEFT(A30,5)&lt;&gt;"DESC="),MAX(B$2:B29)+1,"")</f>
        <v/>
      </c>
    </row>
    <row r="31" customFormat="false" ht="15" hidden="false" customHeight="false" outlineLevel="0" collapsed="false">
      <c r="A31" s="4"/>
      <c r="B31" s="5" t="str">
        <f aca="false">IF(AND(TRIM(A31)&lt;&gt;"",ISNUMBER(FIND(" MT"," "&amp;A31)),LEFT(A31,5)&lt;&gt;"DESC="),MAX(B$2:B30)+1,"")</f>
        <v/>
      </c>
    </row>
    <row r="32" customFormat="false" ht="15" hidden="false" customHeight="false" outlineLevel="0" collapsed="false">
      <c r="A32" s="4"/>
      <c r="B32" s="5" t="str">
        <f aca="false">IF(AND(TRIM(A32)&lt;&gt;"",ISNUMBER(FIND(" MT"," "&amp;A32)),LEFT(A32,5)&lt;&gt;"DESC="),MAX(B$2:B31)+1,"")</f>
        <v/>
      </c>
    </row>
    <row r="33" customFormat="false" ht="15" hidden="false" customHeight="false" outlineLevel="0" collapsed="false">
      <c r="A33" s="4"/>
      <c r="B33" s="5" t="str">
        <f aca="false">IF(AND(TRIM(A33)&lt;&gt;"",ISNUMBER(FIND(" MT"," "&amp;A33)),LEFT(A33,5)&lt;&gt;"DESC="),MAX(B$2:B32)+1,"")</f>
        <v/>
      </c>
    </row>
    <row r="34" customFormat="false" ht="15" hidden="false" customHeight="false" outlineLevel="0" collapsed="false">
      <c r="A34" s="4"/>
      <c r="B34" s="5" t="str">
        <f aca="false">IF(AND(TRIM(A34)&lt;&gt;"",ISNUMBER(FIND(" MT"," "&amp;A34)),LEFT(A34,5)&lt;&gt;"DESC="),MAX(B$2:B33)+1,"")</f>
        <v/>
      </c>
    </row>
    <row r="35" customFormat="false" ht="15" hidden="false" customHeight="false" outlineLevel="0" collapsed="false">
      <c r="A35" s="4"/>
      <c r="B35" s="5" t="str">
        <f aca="false">IF(AND(TRIM(A35)&lt;&gt;"",ISNUMBER(FIND(" MT"," "&amp;A35)),LEFT(A35,5)&lt;&gt;"DESC="),MAX(B$2:B34)+1,"")</f>
        <v/>
      </c>
    </row>
    <row r="36" customFormat="false" ht="15" hidden="false" customHeight="false" outlineLevel="0" collapsed="false">
      <c r="A36" s="4"/>
      <c r="B36" s="5" t="str">
        <f aca="false">IF(AND(TRIM(A36)&lt;&gt;"",ISNUMBER(FIND(" MT"," "&amp;A36)),LEFT(A36,5)&lt;&gt;"DESC="),MAX(B$2:B35)+1,"")</f>
        <v/>
      </c>
    </row>
    <row r="37" customFormat="false" ht="15" hidden="false" customHeight="false" outlineLevel="0" collapsed="false">
      <c r="A37" s="4"/>
      <c r="B37" s="5" t="str">
        <f aca="false">IF(AND(TRIM(A37)&lt;&gt;"",ISNUMBER(FIND(" MT"," "&amp;A37)),LEFT(A37,5)&lt;&gt;"DESC="),MAX(B$2:B36)+1,"")</f>
        <v/>
      </c>
    </row>
    <row r="38" customFormat="false" ht="15" hidden="false" customHeight="false" outlineLevel="0" collapsed="false">
      <c r="A38" s="4"/>
      <c r="B38" s="5" t="str">
        <f aca="false">IF(AND(TRIM(A38)&lt;&gt;"",ISNUMBER(FIND(" MT"," "&amp;A38)),LEFT(A38,5)&lt;&gt;"DESC="),MAX(B$2:B37)+1,"")</f>
        <v/>
      </c>
    </row>
    <row r="39" customFormat="false" ht="15" hidden="false" customHeight="false" outlineLevel="0" collapsed="false">
      <c r="A39" s="4"/>
      <c r="B39" s="5" t="str">
        <f aca="false">IF(AND(TRIM(A39)&lt;&gt;"",ISNUMBER(FIND(" MT"," "&amp;A39)),LEFT(A39,5)&lt;&gt;"DESC="),MAX(B$2:B38)+1,"")</f>
        <v/>
      </c>
    </row>
    <row r="40" customFormat="false" ht="15" hidden="false" customHeight="false" outlineLevel="0" collapsed="false">
      <c r="A40" s="4"/>
      <c r="B40" s="5" t="str">
        <f aca="false">IF(AND(TRIM(A40)&lt;&gt;"",ISNUMBER(FIND(" MT"," "&amp;A40)),LEFT(A40,5)&lt;&gt;"DESC="),MAX(B$2:B39)+1,"")</f>
        <v/>
      </c>
    </row>
    <row r="41" customFormat="false" ht="15" hidden="false" customHeight="false" outlineLevel="0" collapsed="false">
      <c r="A41" s="4"/>
      <c r="B41" s="5" t="str">
        <f aca="false">IF(AND(TRIM(A41)&lt;&gt;"",ISNUMBER(FIND(" MT"," "&amp;A41)),LEFT(A41,5)&lt;&gt;"DESC="),MAX(B$2:B40)+1,"")</f>
        <v/>
      </c>
    </row>
    <row r="42" customFormat="false" ht="15" hidden="false" customHeight="false" outlineLevel="0" collapsed="false">
      <c r="A42" s="4"/>
      <c r="B42" s="5" t="str">
        <f aca="false">IF(AND(TRIM(A42)&lt;&gt;"",ISNUMBER(FIND(" MT"," "&amp;A42)),LEFT(A42,5)&lt;&gt;"DESC="),MAX(B$2:B41)+1,"")</f>
        <v/>
      </c>
    </row>
    <row r="43" customFormat="false" ht="15" hidden="false" customHeight="false" outlineLevel="0" collapsed="false">
      <c r="A43" s="4"/>
      <c r="B43" s="5" t="str">
        <f aca="false">IF(AND(TRIM(A43)&lt;&gt;"",ISNUMBER(FIND(" MT"," "&amp;A43)),LEFT(A43,5)&lt;&gt;"DESC="),MAX(B$2:B42)+1,"")</f>
        <v/>
      </c>
    </row>
    <row r="44" customFormat="false" ht="15" hidden="false" customHeight="false" outlineLevel="0" collapsed="false">
      <c r="A44" s="4"/>
      <c r="B44" s="5" t="str">
        <f aca="false">IF(AND(TRIM(A44)&lt;&gt;"",ISNUMBER(FIND(" MT"," "&amp;A44)),LEFT(A44,5)&lt;&gt;"DESC="),MAX(B$2:B43)+1,"")</f>
        <v/>
      </c>
    </row>
    <row r="45" customFormat="false" ht="15" hidden="false" customHeight="false" outlineLevel="0" collapsed="false">
      <c r="A45" s="4"/>
      <c r="B45" s="5" t="str">
        <f aca="false">IF(AND(TRIM(A45)&lt;&gt;"",ISNUMBER(FIND(" MT"," "&amp;A45)),LEFT(A45,5)&lt;&gt;"DESC="),MAX(B$2:B44)+1,"")</f>
        <v/>
      </c>
    </row>
    <row r="46" customFormat="false" ht="15" hidden="false" customHeight="false" outlineLevel="0" collapsed="false">
      <c r="A46" s="4"/>
      <c r="B46" s="5" t="str">
        <f aca="false">IF(AND(TRIM(A46)&lt;&gt;"",ISNUMBER(FIND(" MT"," "&amp;A46)),LEFT(A46,5)&lt;&gt;"DESC="),MAX(B$2:B45)+1,"")</f>
        <v/>
      </c>
    </row>
    <row r="47" customFormat="false" ht="15" hidden="false" customHeight="false" outlineLevel="0" collapsed="false">
      <c r="A47" s="4"/>
      <c r="B47" s="5" t="str">
        <f aca="false">IF(AND(TRIM(A47)&lt;&gt;"",ISNUMBER(FIND(" MT"," "&amp;A47)),LEFT(A47,5)&lt;&gt;"DESC="),MAX(B$2:B46)+1,"")</f>
        <v/>
      </c>
    </row>
    <row r="48" customFormat="false" ht="15" hidden="false" customHeight="false" outlineLevel="0" collapsed="false">
      <c r="A48" s="4"/>
      <c r="B48" s="5" t="str">
        <f aca="false">IF(AND(TRIM(A48)&lt;&gt;"",ISNUMBER(FIND(" MT"," "&amp;A48)),LEFT(A48,5)&lt;&gt;"DESC="),MAX(B$2:B47)+1,"")</f>
        <v/>
      </c>
    </row>
    <row r="49" customFormat="false" ht="15" hidden="false" customHeight="false" outlineLevel="0" collapsed="false">
      <c r="A49" s="4"/>
      <c r="B49" s="5" t="str">
        <f aca="false">IF(AND(TRIM(A49)&lt;&gt;"",ISNUMBER(FIND(" MT"," "&amp;A49)),LEFT(A49,5)&lt;&gt;"DESC="),MAX(B$2:B48)+1,"")</f>
        <v/>
      </c>
    </row>
    <row r="50" customFormat="false" ht="15" hidden="false" customHeight="false" outlineLevel="0" collapsed="false">
      <c r="A50" s="4"/>
      <c r="B50" s="5" t="str">
        <f aca="false">IF(AND(TRIM(A50)&lt;&gt;"",ISNUMBER(FIND(" MT"," "&amp;A50)),LEFT(A50,5)&lt;&gt;"DESC="),MAX(B$2:B49)+1,"")</f>
        <v/>
      </c>
    </row>
    <row r="51" customFormat="false" ht="15" hidden="false" customHeight="false" outlineLevel="0" collapsed="false">
      <c r="A51" s="4"/>
      <c r="B51" s="5" t="str">
        <f aca="false">IF(AND(TRIM(A51)&lt;&gt;"",ISNUMBER(FIND(" MT"," "&amp;A51)),LEFT(A51,5)&lt;&gt;"DESC="),MAX(B$2:B50)+1,"")</f>
        <v/>
      </c>
    </row>
    <row r="52" customFormat="false" ht="15" hidden="false" customHeight="false" outlineLevel="0" collapsed="false">
      <c r="A52" s="4"/>
      <c r="B52" s="5" t="str">
        <f aca="false">IF(AND(TRIM(A52)&lt;&gt;"",ISNUMBER(FIND(" MT"," "&amp;A52)),LEFT(A52,5)&lt;&gt;"DESC="),MAX(B$2:B51)+1,"")</f>
        <v/>
      </c>
    </row>
    <row r="53" customFormat="false" ht="15" hidden="false" customHeight="false" outlineLevel="0" collapsed="false">
      <c r="A53" s="4"/>
      <c r="B53" s="5" t="str">
        <f aca="false">IF(AND(TRIM(A53)&lt;&gt;"",ISNUMBER(FIND(" MT"," "&amp;A53)),LEFT(A53,5)&lt;&gt;"DESC="),MAX(B$2:B52)+1,"")</f>
        <v/>
      </c>
    </row>
    <row r="54" customFormat="false" ht="15" hidden="false" customHeight="false" outlineLevel="0" collapsed="false">
      <c r="A54" s="4"/>
      <c r="B54" s="5" t="str">
        <f aca="false">IF(AND(TRIM(A54)&lt;&gt;"",ISNUMBER(FIND(" MT"," "&amp;A54)),LEFT(A54,5)&lt;&gt;"DESC="),MAX(B$2:B53)+1,"")</f>
        <v/>
      </c>
    </row>
    <row r="55" customFormat="false" ht="15" hidden="false" customHeight="false" outlineLevel="0" collapsed="false">
      <c r="A55" s="4"/>
      <c r="B55" s="5" t="str">
        <f aca="false">IF(AND(TRIM(A55)&lt;&gt;"",ISNUMBER(FIND(" MT"," "&amp;A55)),LEFT(A55,5)&lt;&gt;"DESC="),MAX(B$2:B54)+1,"")</f>
        <v/>
      </c>
    </row>
    <row r="56" customFormat="false" ht="15" hidden="false" customHeight="false" outlineLevel="0" collapsed="false">
      <c r="A56" s="4"/>
      <c r="B56" s="5" t="str">
        <f aca="false">IF(AND(TRIM(A56)&lt;&gt;"",ISNUMBER(FIND(" MT"," "&amp;A56)),LEFT(A56,5)&lt;&gt;"DESC="),MAX(B$2:B55)+1,"")</f>
        <v/>
      </c>
    </row>
    <row r="57" customFormat="false" ht="15" hidden="false" customHeight="false" outlineLevel="0" collapsed="false">
      <c r="A57" s="4"/>
      <c r="B57" s="5" t="str">
        <f aca="false">IF(AND(TRIM(A57)&lt;&gt;"",ISNUMBER(FIND(" MT"," "&amp;A57)),LEFT(A57,5)&lt;&gt;"DESC="),MAX(B$2:B56)+1,"")</f>
        <v/>
      </c>
    </row>
    <row r="58" customFormat="false" ht="15" hidden="false" customHeight="false" outlineLevel="0" collapsed="false">
      <c r="A58" s="4"/>
      <c r="B58" s="5" t="str">
        <f aca="false">IF(AND(TRIM(A58)&lt;&gt;"",ISNUMBER(FIND(" MT"," "&amp;A58)),LEFT(A58,5)&lt;&gt;"DESC="),MAX(B$2:B57)+1,"")</f>
        <v/>
      </c>
    </row>
    <row r="59" customFormat="false" ht="15" hidden="false" customHeight="false" outlineLevel="0" collapsed="false">
      <c r="A59" s="4"/>
      <c r="B59" s="5" t="str">
        <f aca="false">IF(AND(TRIM(A59)&lt;&gt;"",ISNUMBER(FIND(" MT"," "&amp;A59)),LEFT(A59,5)&lt;&gt;"DESC="),MAX(B$2:B58)+1,"")</f>
        <v/>
      </c>
    </row>
    <row r="60" customFormat="false" ht="15" hidden="false" customHeight="false" outlineLevel="0" collapsed="false">
      <c r="A60" s="4"/>
      <c r="B60" s="5" t="str">
        <f aca="false">IF(AND(TRIM(A60)&lt;&gt;"",ISNUMBER(FIND(" MT"," "&amp;A60)),LEFT(A60,5)&lt;&gt;"DESC="),MAX(B$2:B59)+1,"")</f>
        <v/>
      </c>
    </row>
    <row r="61" customFormat="false" ht="15" hidden="false" customHeight="false" outlineLevel="0" collapsed="false">
      <c r="A61" s="4"/>
      <c r="B61" s="5" t="str">
        <f aca="false">IF(AND(TRIM(A61)&lt;&gt;"",ISNUMBER(FIND(" MT"," "&amp;A61)),LEFT(A61,5)&lt;&gt;"DESC="),MAX(B$2:B60)+1,"")</f>
        <v/>
      </c>
    </row>
    <row r="62" customFormat="false" ht="15" hidden="false" customHeight="false" outlineLevel="0" collapsed="false">
      <c r="A62" s="4"/>
      <c r="B62" s="5" t="str">
        <f aca="false">IF(AND(TRIM(A62)&lt;&gt;"",ISNUMBER(FIND(" MT"," "&amp;A62)),LEFT(A62,5)&lt;&gt;"DESC="),MAX(B$2:B61)+1,"")</f>
        <v/>
      </c>
    </row>
    <row r="63" customFormat="false" ht="15" hidden="false" customHeight="false" outlineLevel="0" collapsed="false">
      <c r="A63" s="4"/>
      <c r="B63" s="5" t="str">
        <f aca="false">IF(AND(TRIM(A63)&lt;&gt;"",ISNUMBER(FIND(" MT"," "&amp;A63)),LEFT(A63,5)&lt;&gt;"DESC="),MAX(B$2:B62)+1,"")</f>
        <v/>
      </c>
    </row>
    <row r="64" customFormat="false" ht="15" hidden="false" customHeight="false" outlineLevel="0" collapsed="false">
      <c r="A64" s="4"/>
      <c r="B64" s="5" t="str">
        <f aca="false">IF(AND(TRIM(A64)&lt;&gt;"",ISNUMBER(FIND(" MT"," "&amp;A64)),LEFT(A64,5)&lt;&gt;"DESC="),MAX(B$2:B63)+1,"")</f>
        <v/>
      </c>
    </row>
    <row r="65" customFormat="false" ht="15" hidden="false" customHeight="false" outlineLevel="0" collapsed="false">
      <c r="A65" s="4"/>
      <c r="B65" s="5" t="str">
        <f aca="false">IF(AND(TRIM(A65)&lt;&gt;"",ISNUMBER(FIND(" MT"," "&amp;A65)),LEFT(A65,5)&lt;&gt;"DESC="),MAX(B$2:B64)+1,"")</f>
        <v/>
      </c>
    </row>
    <row r="66" customFormat="false" ht="15" hidden="false" customHeight="false" outlineLevel="0" collapsed="false">
      <c r="A66" s="4"/>
      <c r="B66" s="5" t="str">
        <f aca="false">IF(AND(TRIM(A66)&lt;&gt;"",ISNUMBER(FIND(" MT"," "&amp;A66)),LEFT(A66,5)&lt;&gt;"DESC="),MAX(B$2:B65)+1,"")</f>
        <v/>
      </c>
    </row>
    <row r="67" customFormat="false" ht="15" hidden="false" customHeight="false" outlineLevel="0" collapsed="false">
      <c r="A67" s="4"/>
      <c r="B67" s="5" t="str">
        <f aca="false">IF(AND(TRIM(A67)&lt;&gt;"",ISNUMBER(FIND(" MT"," "&amp;A67)),LEFT(A67,5)&lt;&gt;"DESC="),MAX(B$2:B66)+1,"")</f>
        <v/>
      </c>
    </row>
    <row r="68" customFormat="false" ht="15" hidden="false" customHeight="false" outlineLevel="0" collapsed="false">
      <c r="A68" s="4"/>
      <c r="B68" s="5" t="str">
        <f aca="false">IF(AND(TRIM(A68)&lt;&gt;"",ISNUMBER(FIND(" MT"," "&amp;A68)),LEFT(A68,5)&lt;&gt;"DESC="),MAX(B$2:B67)+1,"")</f>
        <v/>
      </c>
    </row>
    <row r="69" customFormat="false" ht="15" hidden="false" customHeight="false" outlineLevel="0" collapsed="false">
      <c r="A69" s="4"/>
      <c r="B69" s="5" t="str">
        <f aca="false">IF(AND(TRIM(A69)&lt;&gt;"",ISNUMBER(FIND(" MT"," "&amp;A69)),LEFT(A69,5)&lt;&gt;"DESC="),MAX(B$2:B68)+1,"")</f>
        <v/>
      </c>
    </row>
    <row r="70" customFormat="false" ht="15" hidden="false" customHeight="false" outlineLevel="0" collapsed="false">
      <c r="A70" s="4"/>
      <c r="B70" s="5" t="str">
        <f aca="false">IF(AND(TRIM(A70)&lt;&gt;"",ISNUMBER(FIND(" MT"," "&amp;A70)),LEFT(A70,5)&lt;&gt;"DESC="),MAX(B$2:B69)+1,"")</f>
        <v/>
      </c>
    </row>
    <row r="71" customFormat="false" ht="15" hidden="false" customHeight="false" outlineLevel="0" collapsed="false">
      <c r="A71" s="4"/>
      <c r="B71" s="5" t="str">
        <f aca="false">IF(AND(TRIM(A71)&lt;&gt;"",ISNUMBER(FIND(" MT"," "&amp;A71)),LEFT(A71,5)&lt;&gt;"DESC="),MAX(B$2:B70)+1,"")</f>
        <v/>
      </c>
    </row>
    <row r="72" customFormat="false" ht="15" hidden="false" customHeight="false" outlineLevel="0" collapsed="false">
      <c r="A72" s="4"/>
      <c r="B72" s="5" t="str">
        <f aca="false">IF(AND(TRIM(A72)&lt;&gt;"",ISNUMBER(FIND(" MT"," "&amp;A72)),LEFT(A72,5)&lt;&gt;"DESC="),MAX(B$2:B71)+1,"")</f>
        <v/>
      </c>
    </row>
    <row r="73" customFormat="false" ht="15" hidden="false" customHeight="false" outlineLevel="0" collapsed="false">
      <c r="A73" s="4"/>
      <c r="B73" s="5" t="str">
        <f aca="false">IF(AND(TRIM(A73)&lt;&gt;"",ISNUMBER(FIND(" MT"," "&amp;A73)),LEFT(A73,5)&lt;&gt;"DESC="),MAX(B$2:B72)+1,"")</f>
        <v/>
      </c>
    </row>
    <row r="74" customFormat="false" ht="15" hidden="false" customHeight="false" outlineLevel="0" collapsed="false">
      <c r="A74" s="4"/>
      <c r="B74" s="5" t="str">
        <f aca="false">IF(AND(TRIM(A74)&lt;&gt;"",ISNUMBER(FIND(" MT"," "&amp;A74)),LEFT(A74,5)&lt;&gt;"DESC="),MAX(B$2:B73)+1,"")</f>
        <v/>
      </c>
    </row>
    <row r="75" customFormat="false" ht="15" hidden="false" customHeight="false" outlineLevel="0" collapsed="false">
      <c r="A75" s="4"/>
      <c r="B75" s="5" t="str">
        <f aca="false">IF(AND(TRIM(A75)&lt;&gt;"",ISNUMBER(FIND(" MT"," "&amp;A75)),LEFT(A75,5)&lt;&gt;"DESC="),MAX(B$2:B74)+1,"")</f>
        <v/>
      </c>
    </row>
    <row r="76" customFormat="false" ht="15" hidden="false" customHeight="false" outlineLevel="0" collapsed="false">
      <c r="A76" s="4"/>
      <c r="B76" s="5" t="str">
        <f aca="false">IF(AND(TRIM(A76)&lt;&gt;"",ISNUMBER(FIND(" MT"," "&amp;A76)),LEFT(A76,5)&lt;&gt;"DESC="),MAX(B$2:B75)+1,"")</f>
        <v/>
      </c>
    </row>
    <row r="77" customFormat="false" ht="15" hidden="false" customHeight="false" outlineLevel="0" collapsed="false">
      <c r="A77" s="4"/>
      <c r="B77" s="5" t="str">
        <f aca="false">IF(AND(TRIM(A77)&lt;&gt;"",ISNUMBER(FIND(" MT"," "&amp;A77)),LEFT(A77,5)&lt;&gt;"DESC="),MAX(B$2:B76)+1,"")</f>
        <v/>
      </c>
    </row>
    <row r="78" customFormat="false" ht="15" hidden="false" customHeight="false" outlineLevel="0" collapsed="false">
      <c r="A78" s="4"/>
      <c r="B78" s="5" t="str">
        <f aca="false">IF(AND(TRIM(A78)&lt;&gt;"",ISNUMBER(FIND(" MT"," "&amp;A78)),LEFT(A78,5)&lt;&gt;"DESC="),MAX(B$2:B77)+1,"")</f>
        <v/>
      </c>
    </row>
    <row r="79" customFormat="false" ht="15" hidden="false" customHeight="false" outlineLevel="0" collapsed="false">
      <c r="A79" s="4"/>
      <c r="B79" s="5" t="str">
        <f aca="false">IF(AND(TRIM(A79)&lt;&gt;"",ISNUMBER(FIND(" MT"," "&amp;A79)),LEFT(A79,5)&lt;&gt;"DESC="),MAX(B$2:B78)+1,"")</f>
        <v/>
      </c>
    </row>
    <row r="80" customFormat="false" ht="15" hidden="false" customHeight="false" outlineLevel="0" collapsed="false">
      <c r="A80" s="4"/>
      <c r="B80" s="5" t="str">
        <f aca="false">IF(AND(TRIM(A80)&lt;&gt;"",ISNUMBER(FIND(" MT"," "&amp;A80)),LEFT(A80,5)&lt;&gt;"DESC="),MAX(B$2:B79)+1,"")</f>
        <v/>
      </c>
    </row>
    <row r="81" customFormat="false" ht="15" hidden="false" customHeight="false" outlineLevel="0" collapsed="false">
      <c r="A81" s="4"/>
      <c r="B81" s="5" t="str">
        <f aca="false">IF(AND(TRIM(A81)&lt;&gt;"",ISNUMBER(FIND(" MT"," "&amp;A81)),LEFT(A81,5)&lt;&gt;"DESC="),MAX(B$2:B80)+1,"")</f>
        <v/>
      </c>
    </row>
    <row r="82" customFormat="false" ht="15" hidden="false" customHeight="false" outlineLevel="0" collapsed="false">
      <c r="A82" s="4"/>
      <c r="B82" s="5" t="str">
        <f aca="false">IF(AND(TRIM(A82)&lt;&gt;"",ISNUMBER(FIND(" MT"," "&amp;A82)),LEFT(A82,5)&lt;&gt;"DESC="),MAX(B$2:B81)+1,"")</f>
        <v/>
      </c>
    </row>
    <row r="83" customFormat="false" ht="15" hidden="false" customHeight="false" outlineLevel="0" collapsed="false">
      <c r="A83" s="4"/>
      <c r="B83" s="5" t="str">
        <f aca="false">IF(AND(TRIM(A83)&lt;&gt;"",ISNUMBER(FIND(" MT"," "&amp;A83)),LEFT(A83,5)&lt;&gt;"DESC="),MAX(B$2:B82)+1,"")</f>
        <v/>
      </c>
    </row>
    <row r="84" customFormat="false" ht="15" hidden="false" customHeight="false" outlineLevel="0" collapsed="false">
      <c r="A84" s="4"/>
      <c r="B84" s="5" t="str">
        <f aca="false">IF(AND(TRIM(A84)&lt;&gt;"",ISNUMBER(FIND(" MT"," "&amp;A84)),LEFT(A84,5)&lt;&gt;"DESC="),MAX(B$2:B83)+1,"")</f>
        <v/>
      </c>
    </row>
    <row r="85" customFormat="false" ht="15" hidden="false" customHeight="false" outlineLevel="0" collapsed="false">
      <c r="A85" s="4"/>
      <c r="B85" s="5" t="str">
        <f aca="false">IF(AND(TRIM(A85)&lt;&gt;"",ISNUMBER(FIND(" MT"," "&amp;A85)),LEFT(A85,5)&lt;&gt;"DESC="),MAX(B$2:B84)+1,"")</f>
        <v/>
      </c>
    </row>
    <row r="86" customFormat="false" ht="15" hidden="false" customHeight="false" outlineLevel="0" collapsed="false">
      <c r="A86" s="4"/>
      <c r="B86" s="5" t="str">
        <f aca="false">IF(AND(TRIM(A86)&lt;&gt;"",ISNUMBER(FIND(" MT"," "&amp;A86)),LEFT(A86,5)&lt;&gt;"DESC="),MAX(B$2:B85)+1,"")</f>
        <v/>
      </c>
    </row>
    <row r="87" customFormat="false" ht="15" hidden="false" customHeight="false" outlineLevel="0" collapsed="false">
      <c r="A87" s="4"/>
      <c r="B87" s="5" t="str">
        <f aca="false">IF(AND(TRIM(A87)&lt;&gt;"",ISNUMBER(FIND(" MT"," "&amp;A87)),LEFT(A87,5)&lt;&gt;"DESC="),MAX(B$2:B86)+1,"")</f>
        <v/>
      </c>
    </row>
    <row r="88" customFormat="false" ht="15" hidden="false" customHeight="false" outlineLevel="0" collapsed="false">
      <c r="A88" s="4"/>
      <c r="B88" s="5" t="str">
        <f aca="false">IF(AND(TRIM(A88)&lt;&gt;"",ISNUMBER(FIND(" MT"," "&amp;A88)),LEFT(A88,5)&lt;&gt;"DESC="),MAX(B$2:B87)+1,"")</f>
        <v/>
      </c>
    </row>
    <row r="89" customFormat="false" ht="15" hidden="false" customHeight="false" outlineLevel="0" collapsed="false">
      <c r="A89" s="4"/>
      <c r="B89" s="5" t="str">
        <f aca="false">IF(AND(TRIM(A89)&lt;&gt;"",ISNUMBER(FIND(" MT"," "&amp;A89)),LEFT(A89,5)&lt;&gt;"DESC="),MAX(B$2:B88)+1,"")</f>
        <v/>
      </c>
    </row>
    <row r="90" customFormat="false" ht="15" hidden="false" customHeight="false" outlineLevel="0" collapsed="false">
      <c r="A90" s="4"/>
      <c r="B90" s="5" t="str">
        <f aca="false">IF(AND(TRIM(A90)&lt;&gt;"",ISNUMBER(FIND(" MT"," "&amp;A90)),LEFT(A90,5)&lt;&gt;"DESC="),MAX(B$2:B89)+1,"")</f>
        <v/>
      </c>
    </row>
    <row r="91" customFormat="false" ht="15" hidden="false" customHeight="false" outlineLevel="0" collapsed="false">
      <c r="A91" s="4"/>
      <c r="B91" s="5" t="str">
        <f aca="false">IF(AND(TRIM(A91)&lt;&gt;"",ISNUMBER(FIND(" MT"," "&amp;A91)),LEFT(A91,5)&lt;&gt;"DESC="),MAX(B$2:B90)+1,"")</f>
        <v/>
      </c>
    </row>
    <row r="92" customFormat="false" ht="15" hidden="false" customHeight="false" outlineLevel="0" collapsed="false">
      <c r="A92" s="4"/>
      <c r="B92" s="5" t="str">
        <f aca="false">IF(AND(TRIM(A92)&lt;&gt;"",ISNUMBER(FIND(" MT"," "&amp;A92)),LEFT(A92,5)&lt;&gt;"DESC="),MAX(B$2:B91)+1,"")</f>
        <v/>
      </c>
    </row>
    <row r="93" customFormat="false" ht="15" hidden="false" customHeight="false" outlineLevel="0" collapsed="false">
      <c r="A93" s="4"/>
      <c r="B93" s="5" t="str">
        <f aca="false">IF(AND(TRIM(A93)&lt;&gt;"",ISNUMBER(FIND(" MT"," "&amp;A93)),LEFT(A93,5)&lt;&gt;"DESC="),MAX(B$2:B92)+1,"")</f>
        <v/>
      </c>
    </row>
    <row r="94" customFormat="false" ht="15" hidden="false" customHeight="false" outlineLevel="0" collapsed="false">
      <c r="A94" s="4"/>
      <c r="B94" s="5" t="str">
        <f aca="false">IF(AND(TRIM(A94)&lt;&gt;"",ISNUMBER(FIND(" MT"," "&amp;A94)),LEFT(A94,5)&lt;&gt;"DESC="),MAX(B$2:B93)+1,"")</f>
        <v/>
      </c>
    </row>
    <row r="95" customFormat="false" ht="15" hidden="false" customHeight="false" outlineLevel="0" collapsed="false">
      <c r="A95" s="4"/>
      <c r="B95" s="5" t="str">
        <f aca="false">IF(AND(TRIM(A95)&lt;&gt;"",ISNUMBER(FIND(" MT"," "&amp;A95)),LEFT(A95,5)&lt;&gt;"DESC="),MAX(B$2:B94)+1,"")</f>
        <v/>
      </c>
    </row>
    <row r="96" customFormat="false" ht="15" hidden="false" customHeight="false" outlineLevel="0" collapsed="false">
      <c r="A96" s="4"/>
      <c r="B96" s="5" t="str">
        <f aca="false">IF(AND(TRIM(A96)&lt;&gt;"",ISNUMBER(FIND(" MT"," "&amp;A96)),LEFT(A96,5)&lt;&gt;"DESC="),MAX(B$2:B95)+1,"")</f>
        <v/>
      </c>
    </row>
    <row r="97" customFormat="false" ht="15" hidden="false" customHeight="false" outlineLevel="0" collapsed="false">
      <c r="A97" s="4"/>
      <c r="B97" s="5" t="str">
        <f aca="false">IF(AND(TRIM(A97)&lt;&gt;"",ISNUMBER(FIND(" MT"," "&amp;A97)),LEFT(A97,5)&lt;&gt;"DESC="),MAX(B$2:B96)+1,"")</f>
        <v/>
      </c>
    </row>
    <row r="98" customFormat="false" ht="15" hidden="false" customHeight="false" outlineLevel="0" collapsed="false">
      <c r="A98" s="4"/>
      <c r="B98" s="5" t="str">
        <f aca="false">IF(AND(TRIM(A98)&lt;&gt;"",ISNUMBER(FIND(" MT"," "&amp;A98)),LEFT(A98,5)&lt;&gt;"DESC="),MAX(B$2:B97)+1,"")</f>
        <v/>
      </c>
    </row>
    <row r="99" customFormat="false" ht="15" hidden="false" customHeight="false" outlineLevel="0" collapsed="false">
      <c r="A99" s="4"/>
      <c r="B99" s="5" t="str">
        <f aca="false">IF(AND(TRIM(A99)&lt;&gt;"",ISNUMBER(FIND(" MT"," "&amp;A99)),LEFT(A99,5)&lt;&gt;"DESC="),MAX(B$2:B98)+1,"")</f>
        <v/>
      </c>
    </row>
    <row r="100" customFormat="false" ht="15" hidden="false" customHeight="false" outlineLevel="0" collapsed="false">
      <c r="A100" s="4"/>
      <c r="B100" s="5" t="str">
        <f aca="false">IF(AND(TRIM(A100)&lt;&gt;"",ISNUMBER(FIND(" MT"," "&amp;A100)),LEFT(A100,5)&lt;&gt;"DESC="),MAX(B$2:B99)+1,"")</f>
        <v/>
      </c>
    </row>
    <row r="101" customFormat="false" ht="15" hidden="false" customHeight="false" outlineLevel="0" collapsed="false">
      <c r="A101" s="4"/>
      <c r="B101" s="5" t="str">
        <f aca="false">IF(AND(TRIM(A101)&lt;&gt;"",ISNUMBER(FIND(" MT"," "&amp;A101)),LEFT(A101,5)&lt;&gt;"DESC="),MAX(B$2:B100)+1,"")</f>
        <v/>
      </c>
    </row>
    <row r="102" customFormat="false" ht="15" hidden="false" customHeight="false" outlineLevel="0" collapsed="false">
      <c r="A102" s="4"/>
      <c r="B102" s="5" t="str">
        <f aca="false">IF(AND(TRIM(A102)&lt;&gt;"",ISNUMBER(FIND(" MT"," "&amp;A102)),LEFT(A102,5)&lt;&gt;"DESC="),MAX(B$2:B101)+1,"")</f>
        <v/>
      </c>
    </row>
    <row r="103" customFormat="false" ht="15" hidden="false" customHeight="false" outlineLevel="0" collapsed="false">
      <c r="A103" s="4"/>
      <c r="B103" s="5" t="str">
        <f aca="false">IF(AND(TRIM(A103)&lt;&gt;"",ISNUMBER(FIND(" MT"," "&amp;A103)),LEFT(A103,5)&lt;&gt;"DESC="),MAX(B$2:B102)+1,"")</f>
        <v/>
      </c>
    </row>
    <row r="104" customFormat="false" ht="15" hidden="false" customHeight="false" outlineLevel="0" collapsed="false">
      <c r="A104" s="4"/>
      <c r="B104" s="5" t="str">
        <f aca="false">IF(AND(TRIM(A104)&lt;&gt;"",ISNUMBER(FIND(" MT"," "&amp;A104)),LEFT(A104,5)&lt;&gt;"DESC="),MAX(B$2:B103)+1,"")</f>
        <v/>
      </c>
    </row>
    <row r="105" customFormat="false" ht="15" hidden="false" customHeight="false" outlineLevel="0" collapsed="false">
      <c r="A105" s="4"/>
      <c r="B105" s="5" t="str">
        <f aca="false">IF(AND(TRIM(A105)&lt;&gt;"",ISNUMBER(FIND(" MT"," "&amp;A105)),LEFT(A105,5)&lt;&gt;"DESC="),MAX(B$2:B104)+1,"")</f>
        <v/>
      </c>
    </row>
    <row r="106" customFormat="false" ht="15" hidden="false" customHeight="false" outlineLevel="0" collapsed="false">
      <c r="A106" s="4"/>
      <c r="B106" s="5" t="str">
        <f aca="false">IF(AND(TRIM(A106)&lt;&gt;"",ISNUMBER(FIND(" MT"," "&amp;A106)),LEFT(A106,5)&lt;&gt;"DESC="),MAX(B$2:B105)+1,"")</f>
        <v/>
      </c>
    </row>
    <row r="107" customFormat="false" ht="15" hidden="false" customHeight="false" outlineLevel="0" collapsed="false">
      <c r="A107" s="4"/>
      <c r="B107" s="5" t="str">
        <f aca="false">IF(AND(TRIM(A107)&lt;&gt;"",ISNUMBER(FIND(" MT"," "&amp;A107)),LEFT(A107,5)&lt;&gt;"DESC="),MAX(B$2:B106)+1,"")</f>
        <v/>
      </c>
    </row>
    <row r="108" customFormat="false" ht="15" hidden="false" customHeight="false" outlineLevel="0" collapsed="false">
      <c r="A108" s="4"/>
      <c r="B108" s="5" t="str">
        <f aca="false">IF(AND(TRIM(A108)&lt;&gt;"",ISNUMBER(FIND(" MT"," "&amp;A108)),LEFT(A108,5)&lt;&gt;"DESC="),MAX(B$2:B107)+1,"")</f>
        <v/>
      </c>
    </row>
    <row r="109" customFormat="false" ht="15" hidden="false" customHeight="false" outlineLevel="0" collapsed="false">
      <c r="A109" s="4"/>
      <c r="B109" s="5" t="str">
        <f aca="false">IF(AND(TRIM(A109)&lt;&gt;"",ISNUMBER(FIND(" MT"," "&amp;A109)),LEFT(A109,5)&lt;&gt;"DESC="),MAX(B$2:B108)+1,"")</f>
        <v/>
      </c>
    </row>
    <row r="110" customFormat="false" ht="15" hidden="false" customHeight="false" outlineLevel="0" collapsed="false">
      <c r="A110" s="4"/>
      <c r="B110" s="5" t="str">
        <f aca="false">IF(AND(TRIM(A110)&lt;&gt;"",ISNUMBER(FIND(" MT"," "&amp;A110)),LEFT(A110,5)&lt;&gt;"DESC="),MAX(B$2:B109)+1,"")</f>
        <v/>
      </c>
    </row>
    <row r="111" customFormat="false" ht="15" hidden="false" customHeight="false" outlineLevel="0" collapsed="false">
      <c r="A111" s="4"/>
      <c r="B111" s="5" t="str">
        <f aca="false">IF(AND(TRIM(A111)&lt;&gt;"",ISNUMBER(FIND(" MT"," "&amp;A111)),LEFT(A111,5)&lt;&gt;"DESC="),MAX(B$2:B110)+1,"")</f>
        <v/>
      </c>
    </row>
    <row r="112" customFormat="false" ht="15" hidden="false" customHeight="false" outlineLevel="0" collapsed="false">
      <c r="A112" s="4"/>
      <c r="B112" s="5" t="str">
        <f aca="false">IF(AND(TRIM(A112)&lt;&gt;"",ISNUMBER(FIND(" MT"," "&amp;A112)),LEFT(A112,5)&lt;&gt;"DESC="),MAX(B$2:B111)+1,"")</f>
        <v/>
      </c>
    </row>
    <row r="113" customFormat="false" ht="15" hidden="false" customHeight="false" outlineLevel="0" collapsed="false">
      <c r="A113" s="4"/>
      <c r="B113" s="5" t="str">
        <f aca="false">IF(AND(TRIM(A113)&lt;&gt;"",ISNUMBER(FIND(" MT"," "&amp;A113)),LEFT(A113,5)&lt;&gt;"DESC="),MAX(B$2:B112)+1,"")</f>
        <v/>
      </c>
    </row>
    <row r="114" customFormat="false" ht="15" hidden="false" customHeight="false" outlineLevel="0" collapsed="false">
      <c r="A114" s="4"/>
      <c r="B114" s="5" t="str">
        <f aca="false">IF(AND(TRIM(A114)&lt;&gt;"",ISNUMBER(FIND(" MT"," "&amp;A114)),LEFT(A114,5)&lt;&gt;"DESC="),MAX(B$2:B113)+1,"")</f>
        <v/>
      </c>
    </row>
    <row r="115" customFormat="false" ht="15" hidden="false" customHeight="false" outlineLevel="0" collapsed="false">
      <c r="A115" s="4"/>
      <c r="B115" s="5" t="str">
        <f aca="false">IF(AND(TRIM(A115)&lt;&gt;"",ISNUMBER(FIND(" MT"," "&amp;A115)),LEFT(A115,5)&lt;&gt;"DESC="),MAX(B$2:B114)+1,"")</f>
        <v/>
      </c>
    </row>
    <row r="116" customFormat="false" ht="15" hidden="false" customHeight="false" outlineLevel="0" collapsed="false">
      <c r="A116" s="4"/>
      <c r="B116" s="5" t="str">
        <f aca="false">IF(AND(TRIM(A116)&lt;&gt;"",ISNUMBER(FIND(" MT"," "&amp;A116)),LEFT(A116,5)&lt;&gt;"DESC="),MAX(B$2:B115)+1,"")</f>
        <v/>
      </c>
    </row>
    <row r="117" customFormat="false" ht="15" hidden="false" customHeight="false" outlineLevel="0" collapsed="false">
      <c r="A117" s="4"/>
      <c r="B117" s="5" t="str">
        <f aca="false">IF(AND(TRIM(A117)&lt;&gt;"",ISNUMBER(FIND(" MT"," "&amp;A117)),LEFT(A117,5)&lt;&gt;"DESC="),MAX(B$2:B116)+1,"")</f>
        <v/>
      </c>
    </row>
    <row r="118" customFormat="false" ht="15" hidden="false" customHeight="false" outlineLevel="0" collapsed="false">
      <c r="A118" s="4"/>
      <c r="B118" s="5" t="str">
        <f aca="false">IF(AND(TRIM(A118)&lt;&gt;"",ISNUMBER(FIND(" MT"," "&amp;A118)),LEFT(A118,5)&lt;&gt;"DESC="),MAX(B$2:B117)+1,"")</f>
        <v/>
      </c>
    </row>
    <row r="119" customFormat="false" ht="15" hidden="false" customHeight="false" outlineLevel="0" collapsed="false">
      <c r="A119" s="4"/>
      <c r="B119" s="5" t="str">
        <f aca="false">IF(AND(TRIM(A119)&lt;&gt;"",ISNUMBER(FIND(" MT"," "&amp;A119)),LEFT(A119,5)&lt;&gt;"DESC="),MAX(B$2:B118)+1,"")</f>
        <v/>
      </c>
    </row>
    <row r="120" customFormat="false" ht="15" hidden="false" customHeight="false" outlineLevel="0" collapsed="false">
      <c r="A120" s="4"/>
      <c r="B120" s="5" t="str">
        <f aca="false">IF(AND(TRIM(A120)&lt;&gt;"",ISNUMBER(FIND(" MT"," "&amp;A120)),LEFT(A120,5)&lt;&gt;"DESC="),MAX(B$2:B119)+1,"")</f>
        <v/>
      </c>
    </row>
    <row r="121" customFormat="false" ht="15" hidden="false" customHeight="false" outlineLevel="0" collapsed="false">
      <c r="A121" s="4"/>
      <c r="B121" s="5" t="str">
        <f aca="false">IF(AND(TRIM(A121)&lt;&gt;"",ISNUMBER(FIND(" MT"," "&amp;A121)),LEFT(A121,5)&lt;&gt;"DESC="),MAX(B$2:B120)+1,"")</f>
        <v/>
      </c>
    </row>
    <row r="122" customFormat="false" ht="15" hidden="false" customHeight="false" outlineLevel="0" collapsed="false">
      <c r="A122" s="4"/>
      <c r="B122" s="5" t="str">
        <f aca="false">IF(AND(TRIM(A122)&lt;&gt;"",ISNUMBER(FIND(" MT"," "&amp;A122)),LEFT(A122,5)&lt;&gt;"DESC="),MAX(B$2:B121)+1,"")</f>
        <v/>
      </c>
    </row>
    <row r="123" customFormat="false" ht="15" hidden="false" customHeight="false" outlineLevel="0" collapsed="false">
      <c r="A123" s="4"/>
      <c r="B123" s="5" t="str">
        <f aca="false">IF(AND(TRIM(A123)&lt;&gt;"",ISNUMBER(FIND(" MT"," "&amp;A123)),LEFT(A123,5)&lt;&gt;"DESC="),MAX(B$2:B122)+1,"")</f>
        <v/>
      </c>
    </row>
    <row r="124" customFormat="false" ht="15" hidden="false" customHeight="false" outlineLevel="0" collapsed="false">
      <c r="A124" s="4"/>
      <c r="B124" s="5" t="str">
        <f aca="false">IF(AND(TRIM(A124)&lt;&gt;"",ISNUMBER(FIND(" MT"," "&amp;A124)),LEFT(A124,5)&lt;&gt;"DESC="),MAX(B$2:B123)+1,"")</f>
        <v/>
      </c>
    </row>
    <row r="125" customFormat="false" ht="15" hidden="false" customHeight="false" outlineLevel="0" collapsed="false">
      <c r="A125" s="4"/>
      <c r="B125" s="5" t="str">
        <f aca="false">IF(AND(TRIM(A125)&lt;&gt;"",ISNUMBER(FIND(" MT"," "&amp;A125)),LEFT(A125,5)&lt;&gt;"DESC="),MAX(B$2:B124)+1,"")</f>
        <v/>
      </c>
    </row>
    <row r="126" customFormat="false" ht="15" hidden="false" customHeight="false" outlineLevel="0" collapsed="false">
      <c r="A126" s="4"/>
      <c r="B126" s="5" t="str">
        <f aca="false">IF(AND(TRIM(A126)&lt;&gt;"",ISNUMBER(FIND(" MT"," "&amp;A126)),LEFT(A126,5)&lt;&gt;"DESC="),MAX(B$2:B125)+1,"")</f>
        <v/>
      </c>
    </row>
    <row r="127" customFormat="false" ht="15" hidden="false" customHeight="false" outlineLevel="0" collapsed="false">
      <c r="A127" s="4"/>
      <c r="B127" s="5" t="str">
        <f aca="false">IF(AND(TRIM(A127)&lt;&gt;"",ISNUMBER(FIND(" MT"," "&amp;A127)),LEFT(A127,5)&lt;&gt;"DESC="),MAX(B$2:B126)+1,"")</f>
        <v/>
      </c>
    </row>
    <row r="128" customFormat="false" ht="15" hidden="false" customHeight="false" outlineLevel="0" collapsed="false">
      <c r="A128" s="4"/>
      <c r="B128" s="5" t="str">
        <f aca="false">IF(AND(TRIM(A128)&lt;&gt;"",ISNUMBER(FIND(" MT"," "&amp;A128)),LEFT(A128,5)&lt;&gt;"DESC="),MAX(B$2:B127)+1,"")</f>
        <v/>
      </c>
    </row>
    <row r="129" customFormat="false" ht="15" hidden="false" customHeight="false" outlineLevel="0" collapsed="false">
      <c r="A129" s="4"/>
      <c r="B129" s="5" t="str">
        <f aca="false">IF(AND(TRIM(A129)&lt;&gt;"",ISNUMBER(FIND(" MT"," "&amp;A129)),LEFT(A129,5)&lt;&gt;"DESC="),MAX(B$2:B128)+1,"")</f>
        <v/>
      </c>
    </row>
    <row r="130" customFormat="false" ht="15" hidden="false" customHeight="false" outlineLevel="0" collapsed="false">
      <c r="A130" s="4"/>
      <c r="B130" s="5" t="str">
        <f aca="false">IF(AND(TRIM(A130)&lt;&gt;"",ISNUMBER(FIND(" MT"," "&amp;A130)),LEFT(A130,5)&lt;&gt;"DESC="),MAX(B$2:B129)+1,"")</f>
        <v/>
      </c>
    </row>
    <row r="131" customFormat="false" ht="15" hidden="false" customHeight="false" outlineLevel="0" collapsed="false">
      <c r="A131" s="4"/>
      <c r="B131" s="5" t="str">
        <f aca="false">IF(AND(TRIM(A131)&lt;&gt;"",ISNUMBER(FIND(" MT"," "&amp;A131)),LEFT(A131,5)&lt;&gt;"DESC="),MAX(B$2:B130)+1,"")</f>
        <v/>
      </c>
    </row>
    <row r="132" customFormat="false" ht="15" hidden="false" customHeight="false" outlineLevel="0" collapsed="false">
      <c r="A132" s="4"/>
      <c r="B132" s="5" t="str">
        <f aca="false">IF(AND(TRIM(A132)&lt;&gt;"",ISNUMBER(FIND(" MT"," "&amp;A132)),LEFT(A132,5)&lt;&gt;"DESC="),MAX(B$2:B131)+1,"")</f>
        <v/>
      </c>
    </row>
    <row r="133" customFormat="false" ht="15" hidden="false" customHeight="false" outlineLevel="0" collapsed="false">
      <c r="A133" s="4"/>
      <c r="B133" s="5" t="str">
        <f aca="false">IF(AND(TRIM(A133)&lt;&gt;"",ISNUMBER(FIND(" MT"," "&amp;A133)),LEFT(A133,5)&lt;&gt;"DESC="),MAX(B$2:B132)+1,"")</f>
        <v/>
      </c>
    </row>
    <row r="134" customFormat="false" ht="15" hidden="false" customHeight="false" outlineLevel="0" collapsed="false">
      <c r="A134" s="4"/>
      <c r="B134" s="5" t="str">
        <f aca="false">IF(AND(TRIM(A134)&lt;&gt;"",ISNUMBER(FIND(" MT"," "&amp;A134)),LEFT(A134,5)&lt;&gt;"DESC="),MAX(B$2:B133)+1,"")</f>
        <v/>
      </c>
    </row>
    <row r="135" customFormat="false" ht="15" hidden="false" customHeight="false" outlineLevel="0" collapsed="false">
      <c r="A135" s="4"/>
      <c r="B135" s="5" t="str">
        <f aca="false">IF(AND(TRIM(A135)&lt;&gt;"",ISNUMBER(FIND(" MT"," "&amp;A135)),LEFT(A135,5)&lt;&gt;"DESC="),MAX(B$2:B134)+1,"")</f>
        <v/>
      </c>
    </row>
    <row r="136" customFormat="false" ht="15" hidden="false" customHeight="false" outlineLevel="0" collapsed="false">
      <c r="A136" s="4"/>
      <c r="B136" s="5" t="str">
        <f aca="false">IF(AND(TRIM(A136)&lt;&gt;"",ISNUMBER(FIND(" MT"," "&amp;A136)),LEFT(A136,5)&lt;&gt;"DESC="),MAX(B$2:B135)+1,"")</f>
        <v/>
      </c>
    </row>
    <row r="137" customFormat="false" ht="15" hidden="false" customHeight="false" outlineLevel="0" collapsed="false">
      <c r="A137" s="4"/>
      <c r="B137" s="5" t="str">
        <f aca="false">IF(AND(TRIM(A137)&lt;&gt;"",ISNUMBER(FIND(" MT"," "&amp;A137)),LEFT(A137,5)&lt;&gt;"DESC="),MAX(B$2:B136)+1,"")</f>
        <v/>
      </c>
    </row>
    <row r="138" customFormat="false" ht="15" hidden="false" customHeight="false" outlineLevel="0" collapsed="false">
      <c r="A138" s="4"/>
      <c r="B138" s="5" t="str">
        <f aca="false">IF(AND(TRIM(A138)&lt;&gt;"",ISNUMBER(FIND(" MT"," "&amp;A138)),LEFT(A138,5)&lt;&gt;"DESC="),MAX(B$2:B137)+1,"")</f>
        <v/>
      </c>
    </row>
    <row r="139" customFormat="false" ht="15" hidden="false" customHeight="false" outlineLevel="0" collapsed="false">
      <c r="A139" s="4"/>
      <c r="B139" s="5" t="str">
        <f aca="false">IF(AND(TRIM(A139)&lt;&gt;"",ISNUMBER(FIND(" MT"," "&amp;A139)),LEFT(A139,5)&lt;&gt;"DESC="),MAX(B$2:B138)+1,"")</f>
        <v/>
      </c>
    </row>
    <row r="140" customFormat="false" ht="15" hidden="false" customHeight="false" outlineLevel="0" collapsed="false">
      <c r="A140" s="4"/>
      <c r="B140" s="5" t="str">
        <f aca="false">IF(AND(TRIM(A140)&lt;&gt;"",ISNUMBER(FIND(" MT"," "&amp;A140)),LEFT(A140,5)&lt;&gt;"DESC="),MAX(B$2:B139)+1,"")</f>
        <v/>
      </c>
    </row>
    <row r="141" customFormat="false" ht="15" hidden="false" customHeight="false" outlineLevel="0" collapsed="false">
      <c r="A141" s="4"/>
      <c r="B141" s="5" t="str">
        <f aca="false">IF(AND(TRIM(A141)&lt;&gt;"",ISNUMBER(FIND(" MT"," "&amp;A141)),LEFT(A141,5)&lt;&gt;"DESC="),MAX(B$2:B140)+1,"")</f>
        <v/>
      </c>
    </row>
    <row r="142" customFormat="false" ht="15" hidden="false" customHeight="false" outlineLevel="0" collapsed="false">
      <c r="A142" s="4"/>
      <c r="B142" s="5" t="str">
        <f aca="false">IF(AND(TRIM(A142)&lt;&gt;"",ISNUMBER(FIND(" MT"," "&amp;A142)),LEFT(A142,5)&lt;&gt;"DESC="),MAX(B$2:B141)+1,"")</f>
        <v/>
      </c>
    </row>
    <row r="143" customFormat="false" ht="15" hidden="false" customHeight="false" outlineLevel="0" collapsed="false">
      <c r="A143" s="4"/>
      <c r="B143" s="5" t="str">
        <f aca="false">IF(AND(TRIM(A143)&lt;&gt;"",ISNUMBER(FIND(" MT"," "&amp;A143)),LEFT(A143,5)&lt;&gt;"DESC="),MAX(B$2:B142)+1,"")</f>
        <v/>
      </c>
    </row>
    <row r="144" customFormat="false" ht="15" hidden="false" customHeight="false" outlineLevel="0" collapsed="false">
      <c r="A144" s="4"/>
      <c r="B144" s="5" t="str">
        <f aca="false">IF(AND(TRIM(A144)&lt;&gt;"",ISNUMBER(FIND(" MT"," "&amp;A144)),LEFT(A144,5)&lt;&gt;"DESC="),MAX(B$2:B143)+1,"")</f>
        <v/>
      </c>
    </row>
    <row r="145" customFormat="false" ht="15" hidden="false" customHeight="false" outlineLevel="0" collapsed="false">
      <c r="A145" s="4"/>
      <c r="B145" s="5" t="str">
        <f aca="false">IF(AND(TRIM(A145)&lt;&gt;"",ISNUMBER(FIND(" MT"," "&amp;A145)),LEFT(A145,5)&lt;&gt;"DESC="),MAX(B$2:B144)+1,"")</f>
        <v/>
      </c>
    </row>
    <row r="146" customFormat="false" ht="15" hidden="false" customHeight="false" outlineLevel="0" collapsed="false">
      <c r="A146" s="4"/>
      <c r="B146" s="5" t="str">
        <f aca="false">IF(AND(TRIM(A146)&lt;&gt;"",ISNUMBER(FIND(" MT"," "&amp;A146)),LEFT(A146,5)&lt;&gt;"DESC="),MAX(B$2:B145)+1,"")</f>
        <v/>
      </c>
    </row>
    <row r="147" customFormat="false" ht="15" hidden="false" customHeight="false" outlineLevel="0" collapsed="false">
      <c r="A147" s="4"/>
      <c r="B147" s="5" t="str">
        <f aca="false">IF(AND(TRIM(A147)&lt;&gt;"",ISNUMBER(FIND(" MT"," "&amp;A147)),LEFT(A147,5)&lt;&gt;"DESC="),MAX(B$2:B146)+1,"")</f>
        <v/>
      </c>
    </row>
    <row r="148" customFormat="false" ht="15" hidden="false" customHeight="false" outlineLevel="0" collapsed="false">
      <c r="A148" s="4"/>
      <c r="B148" s="5" t="str">
        <f aca="false">IF(AND(TRIM(A148)&lt;&gt;"",ISNUMBER(FIND(" MT"," "&amp;A148)),LEFT(A148,5)&lt;&gt;"DESC="),MAX(B$2:B147)+1,"")</f>
        <v/>
      </c>
    </row>
    <row r="149" customFormat="false" ht="15" hidden="false" customHeight="false" outlineLevel="0" collapsed="false">
      <c r="A149" s="4"/>
      <c r="B149" s="5" t="str">
        <f aca="false">IF(AND(TRIM(A149)&lt;&gt;"",ISNUMBER(FIND(" MT"," "&amp;A149)),LEFT(A149,5)&lt;&gt;"DESC="),MAX(B$2:B148)+1,"")</f>
        <v/>
      </c>
    </row>
    <row r="150" customFormat="false" ht="15" hidden="false" customHeight="false" outlineLevel="0" collapsed="false">
      <c r="A150" s="4"/>
      <c r="B150" s="5" t="str">
        <f aca="false">IF(AND(TRIM(A150)&lt;&gt;"",ISNUMBER(FIND(" MT"," "&amp;A150)),LEFT(A150,5)&lt;&gt;"DESC="),MAX(B$2:B149)+1,"")</f>
        <v/>
      </c>
    </row>
    <row r="151" customFormat="false" ht="15" hidden="false" customHeight="false" outlineLevel="0" collapsed="false">
      <c r="A151" s="4"/>
      <c r="B151" s="5" t="str">
        <f aca="false">IF(AND(TRIM(A151)&lt;&gt;"",ISNUMBER(FIND(" MT"," "&amp;A151)),LEFT(A151,5)&lt;&gt;"DESC="),MAX(B$2:B150)+1,"")</f>
        <v/>
      </c>
    </row>
    <row r="152" customFormat="false" ht="15" hidden="false" customHeight="false" outlineLevel="0" collapsed="false">
      <c r="A152" s="4"/>
      <c r="B152" s="5" t="str">
        <f aca="false">IF(AND(TRIM(A152)&lt;&gt;"",ISNUMBER(FIND(" MT"," "&amp;A152)),LEFT(A152,5)&lt;&gt;"DESC="),MAX(B$2:B151)+1,"")</f>
        <v/>
      </c>
    </row>
    <row r="153" customFormat="false" ht="15" hidden="false" customHeight="false" outlineLevel="0" collapsed="false">
      <c r="A153" s="4"/>
      <c r="B153" s="5" t="str">
        <f aca="false">IF(AND(TRIM(A153)&lt;&gt;"",ISNUMBER(FIND(" MT"," "&amp;A153)),LEFT(A153,5)&lt;&gt;"DESC="),MAX(B$2:B152)+1,"")</f>
        <v/>
      </c>
    </row>
    <row r="154" customFormat="false" ht="15" hidden="false" customHeight="false" outlineLevel="0" collapsed="false">
      <c r="A154" s="4"/>
      <c r="B154" s="5" t="str">
        <f aca="false">IF(AND(TRIM(A154)&lt;&gt;"",ISNUMBER(FIND(" MT"," "&amp;A154)),LEFT(A154,5)&lt;&gt;"DESC="),MAX(B$2:B153)+1,"")</f>
        <v/>
      </c>
    </row>
    <row r="155" customFormat="false" ht="15" hidden="false" customHeight="false" outlineLevel="0" collapsed="false">
      <c r="A155" s="4"/>
      <c r="B155" s="5" t="str">
        <f aca="false">IF(AND(TRIM(A155)&lt;&gt;"",ISNUMBER(FIND(" MT"," "&amp;A155)),LEFT(A155,5)&lt;&gt;"DESC="),MAX(B$2:B154)+1,"")</f>
        <v/>
      </c>
    </row>
    <row r="156" customFormat="false" ht="15" hidden="false" customHeight="false" outlineLevel="0" collapsed="false">
      <c r="A156" s="4"/>
      <c r="B156" s="5" t="str">
        <f aca="false">IF(AND(TRIM(A156)&lt;&gt;"",ISNUMBER(FIND(" MT"," "&amp;A156)),LEFT(A156,5)&lt;&gt;"DESC="),MAX(B$2:B155)+1,"")</f>
        <v/>
      </c>
    </row>
    <row r="157" customFormat="false" ht="15" hidden="false" customHeight="false" outlineLevel="0" collapsed="false">
      <c r="A157" s="4"/>
      <c r="B157" s="5" t="str">
        <f aca="false">IF(AND(TRIM(A157)&lt;&gt;"",ISNUMBER(FIND(" MT"," "&amp;A157)),LEFT(A157,5)&lt;&gt;"DESC="),MAX(B$2:B156)+1,"")</f>
        <v/>
      </c>
    </row>
    <row r="158" customFormat="false" ht="15" hidden="false" customHeight="false" outlineLevel="0" collapsed="false">
      <c r="A158" s="4"/>
      <c r="B158" s="5" t="str">
        <f aca="false">IF(AND(TRIM(A158)&lt;&gt;"",ISNUMBER(FIND(" MT"," "&amp;A158)),LEFT(A158,5)&lt;&gt;"DESC="),MAX(B$2:B157)+1,"")</f>
        <v/>
      </c>
    </row>
    <row r="159" customFormat="false" ht="15" hidden="false" customHeight="false" outlineLevel="0" collapsed="false">
      <c r="A159" s="4"/>
      <c r="B159" s="5" t="str">
        <f aca="false">IF(AND(TRIM(A159)&lt;&gt;"",ISNUMBER(FIND(" MT"," "&amp;A159)),LEFT(A159,5)&lt;&gt;"DESC="),MAX(B$2:B158)+1,"")</f>
        <v/>
      </c>
    </row>
    <row r="160" customFormat="false" ht="15" hidden="false" customHeight="false" outlineLevel="0" collapsed="false">
      <c r="A160" s="4"/>
      <c r="B160" s="5" t="str">
        <f aca="false">IF(AND(TRIM(A160)&lt;&gt;"",ISNUMBER(FIND(" MT"," "&amp;A160)),LEFT(A160,5)&lt;&gt;"DESC="),MAX(B$2:B159)+1,"")</f>
        <v/>
      </c>
    </row>
    <row r="161" customFormat="false" ht="15" hidden="false" customHeight="false" outlineLevel="0" collapsed="false">
      <c r="A161" s="4"/>
      <c r="B161" s="5" t="str">
        <f aca="false">IF(AND(TRIM(A161)&lt;&gt;"",ISNUMBER(FIND(" MT"," "&amp;A161)),LEFT(A161,5)&lt;&gt;"DESC="),MAX(B$2:B160)+1,"")</f>
        <v/>
      </c>
    </row>
    <row r="162" customFormat="false" ht="15" hidden="false" customHeight="false" outlineLevel="0" collapsed="false">
      <c r="A162" s="4"/>
      <c r="B162" s="5" t="str">
        <f aca="false">IF(AND(TRIM(A162)&lt;&gt;"",ISNUMBER(FIND(" MT"," "&amp;A162)),LEFT(A162,5)&lt;&gt;"DESC="),MAX(B$2:B161)+1,"")</f>
        <v/>
      </c>
    </row>
    <row r="163" customFormat="false" ht="15" hidden="false" customHeight="false" outlineLevel="0" collapsed="false">
      <c r="A163" s="4"/>
      <c r="B163" s="5" t="str">
        <f aca="false">IF(AND(TRIM(A163)&lt;&gt;"",ISNUMBER(FIND(" MT"," "&amp;A163)),LEFT(A163,5)&lt;&gt;"DESC="),MAX(B$2:B162)+1,"")</f>
        <v/>
      </c>
    </row>
    <row r="164" customFormat="false" ht="15" hidden="false" customHeight="false" outlineLevel="0" collapsed="false">
      <c r="A164" s="4"/>
      <c r="B164" s="5" t="str">
        <f aca="false">IF(AND(TRIM(A164)&lt;&gt;"",ISNUMBER(FIND(" MT"," "&amp;A164)),LEFT(A164,5)&lt;&gt;"DESC="),MAX(B$2:B163)+1,"")</f>
        <v/>
      </c>
    </row>
    <row r="165" customFormat="false" ht="15" hidden="false" customHeight="false" outlineLevel="0" collapsed="false">
      <c r="A165" s="4"/>
      <c r="B165" s="5" t="str">
        <f aca="false">IF(AND(TRIM(A165)&lt;&gt;"",ISNUMBER(FIND(" MT"," "&amp;A165)),LEFT(A165,5)&lt;&gt;"DESC="),MAX(B$2:B164)+1,"")</f>
        <v/>
      </c>
    </row>
    <row r="166" customFormat="false" ht="15" hidden="false" customHeight="false" outlineLevel="0" collapsed="false">
      <c r="A166" s="4"/>
      <c r="B166" s="5" t="str">
        <f aca="false">IF(AND(TRIM(A166)&lt;&gt;"",ISNUMBER(FIND(" MT"," "&amp;A166)),LEFT(A166,5)&lt;&gt;"DESC="),MAX(B$2:B165)+1,"")</f>
        <v/>
      </c>
    </row>
    <row r="167" customFormat="false" ht="15" hidden="false" customHeight="false" outlineLevel="0" collapsed="false">
      <c r="A167" s="4"/>
      <c r="B167" s="5" t="str">
        <f aca="false">IF(AND(TRIM(A167)&lt;&gt;"",ISNUMBER(FIND(" MT"," "&amp;A167)),LEFT(A167,5)&lt;&gt;"DESC="),MAX(B$2:B166)+1,"")</f>
        <v/>
      </c>
    </row>
    <row r="168" customFormat="false" ht="15" hidden="false" customHeight="false" outlineLevel="0" collapsed="false">
      <c r="A168" s="4"/>
      <c r="B168" s="5" t="str">
        <f aca="false">IF(AND(TRIM(A168)&lt;&gt;"",ISNUMBER(FIND(" MT"," "&amp;A168)),LEFT(A168,5)&lt;&gt;"DESC="),MAX(B$2:B167)+1,"")</f>
        <v/>
      </c>
    </row>
    <row r="169" customFormat="false" ht="15" hidden="false" customHeight="false" outlineLevel="0" collapsed="false">
      <c r="A169" s="4"/>
      <c r="B169" s="5" t="str">
        <f aca="false">IF(AND(TRIM(A169)&lt;&gt;"",ISNUMBER(FIND(" MT"," "&amp;A169)),LEFT(A169,5)&lt;&gt;"DESC="),MAX(B$2:B168)+1,"")</f>
        <v/>
      </c>
    </row>
    <row r="170" customFormat="false" ht="15" hidden="false" customHeight="false" outlineLevel="0" collapsed="false">
      <c r="A170" s="4"/>
      <c r="B170" s="5" t="str">
        <f aca="false">IF(AND(TRIM(A170)&lt;&gt;"",ISNUMBER(FIND(" MT"," "&amp;A170)),LEFT(A170,5)&lt;&gt;"DESC="),MAX(B$2:B169)+1,"")</f>
        <v/>
      </c>
    </row>
    <row r="171" customFormat="false" ht="15" hidden="false" customHeight="false" outlineLevel="0" collapsed="false">
      <c r="A171" s="4"/>
      <c r="B171" s="5" t="str">
        <f aca="false">IF(AND(TRIM(A171)&lt;&gt;"",ISNUMBER(FIND(" MT"," "&amp;A171)),LEFT(A171,5)&lt;&gt;"DESC="),MAX(B$2:B170)+1,"")</f>
        <v/>
      </c>
    </row>
    <row r="172" customFormat="false" ht="15" hidden="false" customHeight="false" outlineLevel="0" collapsed="false">
      <c r="A172" s="4"/>
      <c r="B172" s="5" t="str">
        <f aca="false">IF(AND(TRIM(A172)&lt;&gt;"",ISNUMBER(FIND(" MT"," "&amp;A172)),LEFT(A172,5)&lt;&gt;"DESC="),MAX(B$2:B171)+1,"")</f>
        <v/>
      </c>
    </row>
    <row r="173" customFormat="false" ht="15" hidden="false" customHeight="false" outlineLevel="0" collapsed="false">
      <c r="A173" s="4"/>
      <c r="B173" s="5" t="str">
        <f aca="false">IF(AND(TRIM(A173)&lt;&gt;"",ISNUMBER(FIND(" MT"," "&amp;A173)),LEFT(A173,5)&lt;&gt;"DESC="),MAX(B$2:B172)+1,"")</f>
        <v/>
      </c>
    </row>
    <row r="174" customFormat="false" ht="15" hidden="false" customHeight="false" outlineLevel="0" collapsed="false">
      <c r="A174" s="4"/>
      <c r="B174" s="5" t="str">
        <f aca="false">IF(AND(TRIM(A174)&lt;&gt;"",ISNUMBER(FIND(" MT"," "&amp;A174)),LEFT(A174,5)&lt;&gt;"DESC="),MAX(B$2:B173)+1,"")</f>
        <v/>
      </c>
    </row>
    <row r="175" customFormat="false" ht="15" hidden="false" customHeight="false" outlineLevel="0" collapsed="false">
      <c r="A175" s="4"/>
      <c r="B175" s="5" t="str">
        <f aca="false">IF(AND(TRIM(A175)&lt;&gt;"",ISNUMBER(FIND(" MT"," "&amp;A175)),LEFT(A175,5)&lt;&gt;"DESC="),MAX(B$2:B174)+1,"")</f>
        <v/>
      </c>
    </row>
    <row r="176" customFormat="false" ht="15" hidden="false" customHeight="false" outlineLevel="0" collapsed="false">
      <c r="A176" s="4"/>
      <c r="B176" s="5" t="str">
        <f aca="false">IF(AND(TRIM(A176)&lt;&gt;"",ISNUMBER(FIND(" MT"," "&amp;A176)),LEFT(A176,5)&lt;&gt;"DESC="),MAX(B$2:B175)+1,"")</f>
        <v/>
      </c>
    </row>
    <row r="177" customFormat="false" ht="15" hidden="false" customHeight="false" outlineLevel="0" collapsed="false">
      <c r="A177" s="4"/>
      <c r="B177" s="5" t="str">
        <f aca="false">IF(AND(TRIM(A177)&lt;&gt;"",ISNUMBER(FIND(" MT"," "&amp;A177)),LEFT(A177,5)&lt;&gt;"DESC="),MAX(B$2:B176)+1,"")</f>
        <v/>
      </c>
    </row>
    <row r="178" customFormat="false" ht="15" hidden="false" customHeight="false" outlineLevel="0" collapsed="false">
      <c r="A178" s="4"/>
      <c r="B178" s="5" t="str">
        <f aca="false">IF(AND(TRIM(A178)&lt;&gt;"",ISNUMBER(FIND(" MT"," "&amp;A178)),LEFT(A178,5)&lt;&gt;"DESC="),MAX(B$2:B177)+1,"")</f>
        <v/>
      </c>
    </row>
    <row r="179" customFormat="false" ht="15" hidden="false" customHeight="false" outlineLevel="0" collapsed="false">
      <c r="A179" s="4"/>
      <c r="B179" s="5" t="str">
        <f aca="false">IF(AND(TRIM(A179)&lt;&gt;"",ISNUMBER(FIND(" MT"," "&amp;A179)),LEFT(A179,5)&lt;&gt;"DESC="),MAX(B$2:B178)+1,"")</f>
        <v/>
      </c>
    </row>
    <row r="180" customFormat="false" ht="15" hidden="false" customHeight="false" outlineLevel="0" collapsed="false">
      <c r="A180" s="4"/>
      <c r="B180" s="5" t="str">
        <f aca="false">IF(AND(TRIM(A180)&lt;&gt;"",ISNUMBER(FIND(" MT"," "&amp;A180)),LEFT(A180,5)&lt;&gt;"DESC="),MAX(B$2:B179)+1,"")</f>
        <v/>
      </c>
    </row>
    <row r="181" customFormat="false" ht="15" hidden="false" customHeight="false" outlineLevel="0" collapsed="false">
      <c r="A181" s="4"/>
      <c r="B181" s="5" t="str">
        <f aca="false">IF(AND(TRIM(A181)&lt;&gt;"",ISNUMBER(FIND(" MT"," "&amp;A181)),LEFT(A181,5)&lt;&gt;"DESC="),MAX(B$2:B180)+1,"")</f>
        <v/>
      </c>
    </row>
    <row r="182" customFormat="false" ht="15" hidden="false" customHeight="false" outlineLevel="0" collapsed="false">
      <c r="A182" s="4"/>
      <c r="B182" s="5" t="str">
        <f aca="false">IF(AND(TRIM(A182)&lt;&gt;"",ISNUMBER(FIND(" MT"," "&amp;A182)),LEFT(A182,5)&lt;&gt;"DESC="),MAX(B$2:B181)+1,"")</f>
        <v/>
      </c>
    </row>
    <row r="183" customFormat="false" ht="15" hidden="false" customHeight="false" outlineLevel="0" collapsed="false">
      <c r="A183" s="4"/>
      <c r="B183" s="5" t="str">
        <f aca="false">IF(AND(TRIM(A183)&lt;&gt;"",ISNUMBER(FIND(" MT"," "&amp;A183)),LEFT(A183,5)&lt;&gt;"DESC="),MAX(B$2:B182)+1,"")</f>
        <v/>
      </c>
    </row>
    <row r="184" customFormat="false" ht="15" hidden="false" customHeight="false" outlineLevel="0" collapsed="false">
      <c r="A184" s="4"/>
      <c r="B184" s="5" t="str">
        <f aca="false">IF(AND(TRIM(A184)&lt;&gt;"",ISNUMBER(FIND(" MT"," "&amp;A184)),LEFT(A184,5)&lt;&gt;"DESC="),MAX(B$2:B183)+1,"")</f>
        <v/>
      </c>
    </row>
    <row r="185" customFormat="false" ht="15" hidden="false" customHeight="false" outlineLevel="0" collapsed="false">
      <c r="A185" s="4"/>
      <c r="B185" s="5" t="str">
        <f aca="false">IF(AND(TRIM(A185)&lt;&gt;"",ISNUMBER(FIND(" MT"," "&amp;A185)),LEFT(A185,5)&lt;&gt;"DESC="),MAX(B$2:B184)+1,"")</f>
        <v/>
      </c>
    </row>
    <row r="186" customFormat="false" ht="15" hidden="false" customHeight="false" outlineLevel="0" collapsed="false">
      <c r="A186" s="4"/>
      <c r="B186" s="5" t="str">
        <f aca="false">IF(AND(TRIM(A186)&lt;&gt;"",ISNUMBER(FIND(" MT"," "&amp;A186)),LEFT(A186,5)&lt;&gt;"DESC="),MAX(B$2:B185)+1,"")</f>
        <v/>
      </c>
    </row>
    <row r="187" customFormat="false" ht="15" hidden="false" customHeight="false" outlineLevel="0" collapsed="false">
      <c r="A187" s="4"/>
      <c r="B187" s="5" t="str">
        <f aca="false">IF(AND(TRIM(A187)&lt;&gt;"",ISNUMBER(FIND(" MT"," "&amp;A187)),LEFT(A187,5)&lt;&gt;"DESC="),MAX(B$2:B186)+1,"")</f>
        <v/>
      </c>
    </row>
    <row r="188" customFormat="false" ht="15" hidden="false" customHeight="false" outlineLevel="0" collapsed="false">
      <c r="A188" s="4"/>
      <c r="B188" s="5" t="str">
        <f aca="false">IF(AND(TRIM(A188)&lt;&gt;"",ISNUMBER(FIND(" MT"," "&amp;A188)),LEFT(A188,5)&lt;&gt;"DESC="),MAX(B$2:B187)+1,"")</f>
        <v/>
      </c>
    </row>
    <row r="189" customFormat="false" ht="15" hidden="false" customHeight="false" outlineLevel="0" collapsed="false">
      <c r="A189" s="4"/>
      <c r="B189" s="5" t="str">
        <f aca="false">IF(AND(TRIM(A189)&lt;&gt;"",ISNUMBER(FIND(" MT"," "&amp;A189)),LEFT(A189,5)&lt;&gt;"DESC="),MAX(B$2:B188)+1,"")</f>
        <v/>
      </c>
    </row>
    <row r="190" customFormat="false" ht="15" hidden="false" customHeight="false" outlineLevel="0" collapsed="false">
      <c r="A190" s="4"/>
      <c r="B190" s="5" t="str">
        <f aca="false">IF(AND(TRIM(A190)&lt;&gt;"",ISNUMBER(FIND(" MT"," "&amp;A190)),LEFT(A190,5)&lt;&gt;"DESC="),MAX(B$2:B189)+1,"")</f>
        <v/>
      </c>
    </row>
    <row r="191" customFormat="false" ht="15" hidden="false" customHeight="false" outlineLevel="0" collapsed="false">
      <c r="A191" s="4"/>
      <c r="B191" s="5" t="str">
        <f aca="false">IF(AND(TRIM(A191)&lt;&gt;"",ISNUMBER(FIND(" MT"," "&amp;A191)),LEFT(A191,5)&lt;&gt;"DESC="),MAX(B$2:B190)+1,"")</f>
        <v/>
      </c>
    </row>
    <row r="192" customFormat="false" ht="15" hidden="false" customHeight="false" outlineLevel="0" collapsed="false">
      <c r="A192" s="4"/>
      <c r="B192" s="5" t="str">
        <f aca="false">IF(AND(TRIM(A192)&lt;&gt;"",ISNUMBER(FIND(" MT"," "&amp;A192)),LEFT(A192,5)&lt;&gt;"DESC="),MAX(B$2:B191)+1,"")</f>
        <v/>
      </c>
    </row>
    <row r="193" customFormat="false" ht="15" hidden="false" customHeight="false" outlineLevel="0" collapsed="false">
      <c r="A193" s="4"/>
      <c r="B193" s="5" t="str">
        <f aca="false">IF(AND(TRIM(A193)&lt;&gt;"",ISNUMBER(FIND(" MT"," "&amp;A193)),LEFT(A193,5)&lt;&gt;"DESC="),MAX(B$2:B192)+1,"")</f>
        <v/>
      </c>
    </row>
    <row r="194" customFormat="false" ht="15" hidden="false" customHeight="false" outlineLevel="0" collapsed="false">
      <c r="A194" s="4"/>
      <c r="B194" s="5" t="str">
        <f aca="false">IF(AND(TRIM(A194)&lt;&gt;"",ISNUMBER(FIND(" MT"," "&amp;A194)),LEFT(A194,5)&lt;&gt;"DESC="),MAX(B$2:B193)+1,"")</f>
        <v/>
      </c>
    </row>
    <row r="195" customFormat="false" ht="15" hidden="false" customHeight="false" outlineLevel="0" collapsed="false">
      <c r="A195" s="4"/>
      <c r="B195" s="5" t="str">
        <f aca="false">IF(AND(TRIM(A195)&lt;&gt;"",ISNUMBER(FIND(" MT"," "&amp;A195)),LEFT(A195,5)&lt;&gt;"DESC="),MAX(B$2:B194)+1,"")</f>
        <v/>
      </c>
    </row>
    <row r="196" customFormat="false" ht="15" hidden="false" customHeight="false" outlineLevel="0" collapsed="false">
      <c r="A196" s="4"/>
      <c r="B196" s="5" t="str">
        <f aca="false">IF(AND(TRIM(A196)&lt;&gt;"",ISNUMBER(FIND(" MT"," "&amp;A196)),LEFT(A196,5)&lt;&gt;"DESC="),MAX(B$2:B195)+1,"")</f>
        <v/>
      </c>
    </row>
    <row r="197" customFormat="false" ht="15" hidden="false" customHeight="false" outlineLevel="0" collapsed="false">
      <c r="A197" s="4"/>
      <c r="B197" s="5" t="str">
        <f aca="false">IF(AND(TRIM(A197)&lt;&gt;"",ISNUMBER(FIND(" MT"," "&amp;A197)),LEFT(A197,5)&lt;&gt;"DESC="),MAX(B$2:B196)+1,"")</f>
        <v/>
      </c>
    </row>
    <row r="198" customFormat="false" ht="15" hidden="false" customHeight="false" outlineLevel="0" collapsed="false">
      <c r="A198" s="4"/>
      <c r="B198" s="5" t="str">
        <f aca="false">IF(AND(TRIM(A198)&lt;&gt;"",ISNUMBER(FIND(" MT"," "&amp;A198)),LEFT(A198,5)&lt;&gt;"DESC="),MAX(B$2:B197)+1,"")</f>
        <v/>
      </c>
    </row>
    <row r="199" customFormat="false" ht="15" hidden="false" customHeight="false" outlineLevel="0" collapsed="false">
      <c r="A199" s="4"/>
      <c r="B199" s="5" t="str">
        <f aca="false">IF(AND(TRIM(A199)&lt;&gt;"",ISNUMBER(FIND(" MT"," "&amp;A199)),LEFT(A199,5)&lt;&gt;"DESC="),MAX(B$2:B198)+1,"")</f>
        <v/>
      </c>
    </row>
    <row r="200" customFormat="false" ht="15" hidden="false" customHeight="false" outlineLevel="0" collapsed="false">
      <c r="A200" s="4"/>
      <c r="B200" s="5" t="str">
        <f aca="false">IF(AND(TRIM(A200)&lt;&gt;"",ISNUMBER(FIND(" MT"," "&amp;A200)),LEFT(A200,5)&lt;&gt;"DESC="),MAX(B$2:B199)+1,"")</f>
        <v/>
      </c>
    </row>
    <row r="201" customFormat="false" ht="15" hidden="false" customHeight="false" outlineLevel="0" collapsed="false">
      <c r="A201" s="4"/>
      <c r="B201" s="5" t="str">
        <f aca="false">IF(AND(TRIM(A201)&lt;&gt;"",ISNUMBER(FIND(" MT"," "&amp;A201)),LEFT(A201,5)&lt;&gt;"DESC="),MAX(B$2:B200)+1,"")</f>
        <v/>
      </c>
    </row>
    <row r="202" customFormat="false" ht="15" hidden="false" customHeight="false" outlineLevel="0" collapsed="false">
      <c r="A202" s="4"/>
      <c r="B202" s="5" t="str">
        <f aca="false">IF(AND(TRIM(A202)&lt;&gt;"",ISNUMBER(FIND(" MT"," "&amp;A202)),LEFT(A202,5)&lt;&gt;"DESC="),MAX(B$2:B201)+1,"")</f>
        <v/>
      </c>
    </row>
    <row r="203" customFormat="false" ht="15" hidden="false" customHeight="false" outlineLevel="0" collapsed="false">
      <c r="A203" s="4"/>
      <c r="B203" s="5" t="str">
        <f aca="false">IF(AND(TRIM(A203)&lt;&gt;"",ISNUMBER(FIND(" MT"," "&amp;A203)),LEFT(A203,5)&lt;&gt;"DESC="),MAX(B$2:B202)+1,"")</f>
        <v/>
      </c>
    </row>
    <row r="204" customFormat="false" ht="15" hidden="false" customHeight="false" outlineLevel="0" collapsed="false">
      <c r="A204" s="4"/>
      <c r="B204" s="5" t="str">
        <f aca="false">IF(AND(TRIM(A204)&lt;&gt;"",ISNUMBER(FIND(" MT"," "&amp;A204)),LEFT(A204,5)&lt;&gt;"DESC="),MAX(B$2:B203)+1,"")</f>
        <v/>
      </c>
    </row>
    <row r="205" customFormat="false" ht="15" hidden="false" customHeight="false" outlineLevel="0" collapsed="false">
      <c r="A205" s="4"/>
      <c r="B205" s="5" t="str">
        <f aca="false">IF(AND(TRIM(A205)&lt;&gt;"",ISNUMBER(FIND(" MT"," "&amp;A205)),LEFT(A205,5)&lt;&gt;"DESC="),MAX(B$2:B204)+1,"")</f>
        <v/>
      </c>
    </row>
    <row r="206" customFormat="false" ht="15" hidden="false" customHeight="false" outlineLevel="0" collapsed="false">
      <c r="A206" s="4"/>
      <c r="B206" s="5" t="str">
        <f aca="false">IF(AND(TRIM(A206)&lt;&gt;"",ISNUMBER(FIND(" MT"," "&amp;A206)),LEFT(A206,5)&lt;&gt;"DESC="),MAX(B$2:B205)+1,"")</f>
        <v/>
      </c>
    </row>
    <row r="207" customFormat="false" ht="15" hidden="false" customHeight="false" outlineLevel="0" collapsed="false">
      <c r="A207" s="4"/>
      <c r="B207" s="5" t="str">
        <f aca="false">IF(AND(TRIM(A207)&lt;&gt;"",ISNUMBER(FIND(" MT"," "&amp;A207)),LEFT(A207,5)&lt;&gt;"DESC="),MAX(B$2:B206)+1,"")</f>
        <v/>
      </c>
    </row>
    <row r="208" customFormat="false" ht="15" hidden="false" customHeight="false" outlineLevel="0" collapsed="false">
      <c r="A208" s="4"/>
      <c r="B208" s="5" t="str">
        <f aca="false">IF(AND(TRIM(A208)&lt;&gt;"",ISNUMBER(FIND(" MT"," "&amp;A208)),LEFT(A208,5)&lt;&gt;"DESC="),MAX(B$2:B207)+1,"")</f>
        <v/>
      </c>
    </row>
    <row r="209" customFormat="false" ht="15" hidden="false" customHeight="false" outlineLevel="0" collapsed="false">
      <c r="A209" s="4"/>
      <c r="B209" s="5" t="str">
        <f aca="false">IF(AND(TRIM(A209)&lt;&gt;"",ISNUMBER(FIND(" MT"," "&amp;A209)),LEFT(A209,5)&lt;&gt;"DESC="),MAX(B$2:B208)+1,"")</f>
        <v/>
      </c>
    </row>
    <row r="210" customFormat="false" ht="15" hidden="false" customHeight="false" outlineLevel="0" collapsed="false">
      <c r="A210" s="4"/>
      <c r="B210" s="5" t="str">
        <f aca="false">IF(AND(TRIM(A210)&lt;&gt;"",ISNUMBER(FIND(" MT"," "&amp;A210)),LEFT(A210,5)&lt;&gt;"DESC="),MAX(B$2:B209)+1,"")</f>
        <v/>
      </c>
    </row>
    <row r="211" customFormat="false" ht="15" hidden="false" customHeight="false" outlineLevel="0" collapsed="false">
      <c r="A211" s="4"/>
      <c r="B211" s="5" t="str">
        <f aca="false">IF(AND(TRIM(A211)&lt;&gt;"",ISNUMBER(FIND(" MT"," "&amp;A211)),LEFT(A211,5)&lt;&gt;"DESC="),MAX(B$2:B210)+1,"")</f>
        <v/>
      </c>
    </row>
    <row r="212" customFormat="false" ht="15" hidden="false" customHeight="false" outlineLevel="0" collapsed="false">
      <c r="A212" s="4"/>
      <c r="B212" s="5" t="str">
        <f aca="false">IF(AND(TRIM(A212)&lt;&gt;"",ISNUMBER(FIND(" MT"," "&amp;A212)),LEFT(A212,5)&lt;&gt;"DESC="),MAX(B$2:B211)+1,"")</f>
        <v/>
      </c>
    </row>
    <row r="213" customFormat="false" ht="15" hidden="false" customHeight="false" outlineLevel="0" collapsed="false">
      <c r="A213" s="4"/>
      <c r="B213" s="5" t="str">
        <f aca="false">IF(AND(TRIM(A213)&lt;&gt;"",ISNUMBER(FIND(" MT"," "&amp;A213)),LEFT(A213,5)&lt;&gt;"DESC="),MAX(B$2:B212)+1,"")</f>
        <v/>
      </c>
    </row>
    <row r="214" customFormat="false" ht="15" hidden="false" customHeight="false" outlineLevel="0" collapsed="false">
      <c r="A214" s="4"/>
      <c r="B214" s="5" t="str">
        <f aca="false">IF(AND(TRIM(A214)&lt;&gt;"",ISNUMBER(FIND(" MT"," "&amp;A214)),LEFT(A214,5)&lt;&gt;"DESC="),MAX(B$2:B213)+1,"")</f>
        <v/>
      </c>
    </row>
    <row r="215" customFormat="false" ht="15" hidden="false" customHeight="false" outlineLevel="0" collapsed="false">
      <c r="A215" s="4"/>
      <c r="B215" s="5" t="str">
        <f aca="false">IF(AND(TRIM(A215)&lt;&gt;"",ISNUMBER(FIND(" MT"," "&amp;A215)),LEFT(A215,5)&lt;&gt;"DESC="),MAX(B$2:B214)+1,"")</f>
        <v/>
      </c>
    </row>
    <row r="216" customFormat="false" ht="15" hidden="false" customHeight="false" outlineLevel="0" collapsed="false">
      <c r="A216" s="4"/>
      <c r="B216" s="5" t="str">
        <f aca="false">IF(AND(TRIM(A216)&lt;&gt;"",ISNUMBER(FIND(" MT"," "&amp;A216)),LEFT(A216,5)&lt;&gt;"DESC="),MAX(B$2:B215)+1,"")</f>
        <v/>
      </c>
    </row>
    <row r="217" customFormat="false" ht="15" hidden="false" customHeight="false" outlineLevel="0" collapsed="false">
      <c r="A217" s="4"/>
      <c r="B217" s="5" t="str">
        <f aca="false">IF(AND(TRIM(A217)&lt;&gt;"",ISNUMBER(FIND(" MT"," "&amp;A217)),LEFT(A217,5)&lt;&gt;"DESC="),MAX(B$2:B216)+1,"")</f>
        <v/>
      </c>
    </row>
    <row r="218" customFormat="false" ht="15" hidden="false" customHeight="false" outlineLevel="0" collapsed="false">
      <c r="A218" s="4"/>
      <c r="B218" s="5" t="str">
        <f aca="false">IF(AND(TRIM(A218)&lt;&gt;"",ISNUMBER(FIND(" MT"," "&amp;A218)),LEFT(A218,5)&lt;&gt;"DESC="),MAX(B$2:B217)+1,"")</f>
        <v/>
      </c>
    </row>
    <row r="219" customFormat="false" ht="15" hidden="false" customHeight="false" outlineLevel="0" collapsed="false">
      <c r="A219" s="4"/>
      <c r="B219" s="5" t="str">
        <f aca="false">IF(AND(TRIM(A219)&lt;&gt;"",ISNUMBER(FIND(" MT"," "&amp;A219)),LEFT(A219,5)&lt;&gt;"DESC="),MAX(B$2:B218)+1,"")</f>
        <v/>
      </c>
    </row>
    <row r="220" customFormat="false" ht="15" hidden="false" customHeight="false" outlineLevel="0" collapsed="false">
      <c r="A220" s="4"/>
      <c r="B220" s="5" t="str">
        <f aca="false">IF(AND(TRIM(A220)&lt;&gt;"",ISNUMBER(FIND(" MT"," "&amp;A220)),LEFT(A220,5)&lt;&gt;"DESC="),MAX(B$2:B219)+1,"")</f>
        <v/>
      </c>
    </row>
    <row r="221" customFormat="false" ht="15" hidden="false" customHeight="false" outlineLevel="0" collapsed="false">
      <c r="A221" s="4"/>
      <c r="B221" s="5" t="str">
        <f aca="false">IF(AND(TRIM(A221)&lt;&gt;"",ISNUMBER(FIND(" MT"," "&amp;A221)),LEFT(A221,5)&lt;&gt;"DESC="),MAX(B$2:B220)+1,"")</f>
        <v/>
      </c>
    </row>
    <row r="222" customFormat="false" ht="15" hidden="false" customHeight="false" outlineLevel="0" collapsed="false">
      <c r="A222" s="4"/>
      <c r="B222" s="5" t="str">
        <f aca="false">IF(AND(TRIM(A222)&lt;&gt;"",ISNUMBER(FIND(" MT"," "&amp;A222)),LEFT(A222,5)&lt;&gt;"DESC="),MAX(B$2:B221)+1,"")</f>
        <v/>
      </c>
    </row>
    <row r="223" customFormat="false" ht="15" hidden="false" customHeight="false" outlineLevel="0" collapsed="false">
      <c r="A223" s="4"/>
      <c r="B223" s="5" t="str">
        <f aca="false">IF(AND(TRIM(A223)&lt;&gt;"",ISNUMBER(FIND(" MT"," "&amp;A223)),LEFT(A223,5)&lt;&gt;"DESC="),MAX(B$2:B222)+1,"")</f>
        <v/>
      </c>
    </row>
    <row r="224" customFormat="false" ht="15" hidden="false" customHeight="false" outlineLevel="0" collapsed="false">
      <c r="A224" s="4"/>
      <c r="B224" s="5" t="str">
        <f aca="false">IF(AND(TRIM(A224)&lt;&gt;"",ISNUMBER(FIND(" MT"," "&amp;A224)),LEFT(A224,5)&lt;&gt;"DESC="),MAX(B$2:B223)+1,"")</f>
        <v/>
      </c>
    </row>
    <row r="225" customFormat="false" ht="15" hidden="false" customHeight="false" outlineLevel="0" collapsed="false">
      <c r="A225" s="4"/>
      <c r="B225" s="5" t="str">
        <f aca="false">IF(AND(TRIM(A225)&lt;&gt;"",ISNUMBER(FIND(" MT"," "&amp;A225)),LEFT(A225,5)&lt;&gt;"DESC="),MAX(B$2:B224)+1,"")</f>
        <v/>
      </c>
    </row>
    <row r="226" customFormat="false" ht="15" hidden="false" customHeight="false" outlineLevel="0" collapsed="false">
      <c r="A226" s="4"/>
      <c r="B226" s="5" t="str">
        <f aca="false">IF(AND(TRIM(A226)&lt;&gt;"",ISNUMBER(FIND(" MT"," "&amp;A226)),LEFT(A226,5)&lt;&gt;"DESC="),MAX(B$2:B225)+1,"")</f>
        <v/>
      </c>
    </row>
    <row r="227" customFormat="false" ht="15" hidden="false" customHeight="false" outlineLevel="0" collapsed="false">
      <c r="A227" s="4"/>
      <c r="B227" s="5" t="str">
        <f aca="false">IF(AND(TRIM(A227)&lt;&gt;"",ISNUMBER(FIND(" MT"," "&amp;A227)),LEFT(A227,5)&lt;&gt;"DESC="),MAX(B$2:B226)+1,"")</f>
        <v/>
      </c>
    </row>
    <row r="228" customFormat="false" ht="15" hidden="false" customHeight="false" outlineLevel="0" collapsed="false">
      <c r="A228" s="4"/>
      <c r="B228" s="5" t="str">
        <f aca="false">IF(AND(TRIM(A228)&lt;&gt;"",ISNUMBER(FIND(" MT"," "&amp;A228)),LEFT(A228,5)&lt;&gt;"DESC="),MAX(B$2:B227)+1,"")</f>
        <v/>
      </c>
    </row>
    <row r="229" customFormat="false" ht="15" hidden="false" customHeight="false" outlineLevel="0" collapsed="false">
      <c r="A229" s="4"/>
      <c r="B229" s="5" t="str">
        <f aca="false">IF(AND(TRIM(A229)&lt;&gt;"",ISNUMBER(FIND(" MT"," "&amp;A229)),LEFT(A229,5)&lt;&gt;"DESC="),MAX(B$2:B228)+1,"")</f>
        <v/>
      </c>
    </row>
    <row r="230" customFormat="false" ht="15" hidden="false" customHeight="false" outlineLevel="0" collapsed="false">
      <c r="A230" s="4"/>
      <c r="B230" s="5" t="str">
        <f aca="false">IF(AND(TRIM(A230)&lt;&gt;"",ISNUMBER(FIND(" MT"," "&amp;A230)),LEFT(A230,5)&lt;&gt;"DESC="),MAX(B$2:B229)+1,"")</f>
        <v/>
      </c>
    </row>
    <row r="231" customFormat="false" ht="15" hidden="false" customHeight="false" outlineLevel="0" collapsed="false">
      <c r="A231" s="4"/>
      <c r="B231" s="5" t="str">
        <f aca="false">IF(AND(TRIM(A231)&lt;&gt;"",ISNUMBER(FIND(" MT"," "&amp;A231)),LEFT(A231,5)&lt;&gt;"DESC="),MAX(B$2:B230)+1,"")</f>
        <v/>
      </c>
    </row>
    <row r="232" customFormat="false" ht="15" hidden="false" customHeight="false" outlineLevel="0" collapsed="false">
      <c r="A232" s="4"/>
      <c r="B232" s="5" t="str">
        <f aca="false">IF(AND(TRIM(A232)&lt;&gt;"",ISNUMBER(FIND(" MT"," "&amp;A232)),LEFT(A232,5)&lt;&gt;"DESC="),MAX(B$2:B231)+1,"")</f>
        <v/>
      </c>
    </row>
    <row r="233" customFormat="false" ht="15" hidden="false" customHeight="false" outlineLevel="0" collapsed="false">
      <c r="A233" s="4"/>
      <c r="B233" s="5" t="str">
        <f aca="false">IF(AND(TRIM(A233)&lt;&gt;"",ISNUMBER(FIND(" MT"," "&amp;A233)),LEFT(A233,5)&lt;&gt;"DESC="),MAX(B$2:B232)+1,"")</f>
        <v/>
      </c>
    </row>
    <row r="234" customFormat="false" ht="15" hidden="false" customHeight="false" outlineLevel="0" collapsed="false">
      <c r="A234" s="4"/>
      <c r="B234" s="5" t="str">
        <f aca="false">IF(AND(TRIM(A234)&lt;&gt;"",ISNUMBER(FIND(" MT"," "&amp;A234)),LEFT(A234,5)&lt;&gt;"DESC="),MAX(B$2:B233)+1,"")</f>
        <v/>
      </c>
    </row>
    <row r="235" customFormat="false" ht="15" hidden="false" customHeight="false" outlineLevel="0" collapsed="false">
      <c r="A235" s="4"/>
      <c r="B235" s="5" t="str">
        <f aca="false">IF(AND(TRIM(A235)&lt;&gt;"",ISNUMBER(FIND(" MT"," "&amp;A235)),LEFT(A235,5)&lt;&gt;"DESC="),MAX(B$2:B234)+1,"")</f>
        <v/>
      </c>
    </row>
    <row r="236" customFormat="false" ht="15" hidden="false" customHeight="false" outlineLevel="0" collapsed="false">
      <c r="A236" s="4"/>
      <c r="B236" s="5" t="str">
        <f aca="false">IF(AND(TRIM(A236)&lt;&gt;"",ISNUMBER(FIND(" MT"," "&amp;A236)),LEFT(A236,5)&lt;&gt;"DESC="),MAX(B$2:B235)+1,"")</f>
        <v/>
      </c>
    </row>
    <row r="237" customFormat="false" ht="15" hidden="false" customHeight="false" outlineLevel="0" collapsed="false">
      <c r="A237" s="4"/>
      <c r="B237" s="5" t="str">
        <f aca="false">IF(AND(TRIM(A237)&lt;&gt;"",ISNUMBER(FIND(" MT"," "&amp;A237)),LEFT(A237,5)&lt;&gt;"DESC="),MAX(B$2:B236)+1,"")</f>
        <v/>
      </c>
    </row>
    <row r="238" customFormat="false" ht="15" hidden="false" customHeight="false" outlineLevel="0" collapsed="false">
      <c r="A238" s="4"/>
      <c r="B238" s="5" t="str">
        <f aca="false">IF(AND(TRIM(A238)&lt;&gt;"",ISNUMBER(FIND(" MT"," "&amp;A238)),LEFT(A238,5)&lt;&gt;"DESC="),MAX(B$2:B237)+1,"")</f>
        <v/>
      </c>
    </row>
    <row r="239" customFormat="false" ht="15" hidden="false" customHeight="false" outlineLevel="0" collapsed="false">
      <c r="A239" s="4"/>
      <c r="B239" s="5" t="str">
        <f aca="false">IF(AND(TRIM(A239)&lt;&gt;"",ISNUMBER(FIND(" MT"," "&amp;A239)),LEFT(A239,5)&lt;&gt;"DESC="),MAX(B$2:B238)+1,"")</f>
        <v/>
      </c>
    </row>
    <row r="240" customFormat="false" ht="15" hidden="false" customHeight="false" outlineLevel="0" collapsed="false">
      <c r="A240" s="4"/>
      <c r="B240" s="5" t="str">
        <f aca="false">IF(AND(TRIM(A240)&lt;&gt;"",ISNUMBER(FIND(" MT"," "&amp;A240)),LEFT(A240,5)&lt;&gt;"DESC="),MAX(B$2:B239)+1,"")</f>
        <v/>
      </c>
    </row>
    <row r="241" customFormat="false" ht="15" hidden="false" customHeight="false" outlineLevel="0" collapsed="false">
      <c r="A241" s="4"/>
      <c r="B241" s="5" t="str">
        <f aca="false">IF(AND(TRIM(A241)&lt;&gt;"",ISNUMBER(FIND(" MT"," "&amp;A241)),LEFT(A241,5)&lt;&gt;"DESC="),MAX(B$2:B240)+1,"")</f>
        <v/>
      </c>
    </row>
    <row r="242" customFormat="false" ht="15" hidden="false" customHeight="false" outlineLevel="0" collapsed="false">
      <c r="A242" s="4"/>
      <c r="B242" s="5" t="str">
        <f aca="false">IF(AND(TRIM(A242)&lt;&gt;"",ISNUMBER(FIND(" MT"," "&amp;A242)),LEFT(A242,5)&lt;&gt;"DESC="),MAX(B$2:B241)+1,"")</f>
        <v/>
      </c>
    </row>
    <row r="243" customFormat="false" ht="15" hidden="false" customHeight="false" outlineLevel="0" collapsed="false">
      <c r="A243" s="4"/>
      <c r="B243" s="5" t="str">
        <f aca="false">IF(AND(TRIM(A243)&lt;&gt;"",ISNUMBER(FIND(" MT"," "&amp;A243)),LEFT(A243,5)&lt;&gt;"DESC="),MAX(B$2:B242)+1,"")</f>
        <v/>
      </c>
    </row>
    <row r="244" customFormat="false" ht="15" hidden="false" customHeight="false" outlineLevel="0" collapsed="false">
      <c r="A244" s="4"/>
      <c r="B244" s="5" t="str">
        <f aca="false">IF(AND(TRIM(A244)&lt;&gt;"",ISNUMBER(FIND(" MT"," "&amp;A244)),LEFT(A244,5)&lt;&gt;"DESC="),MAX(B$2:B243)+1,"")</f>
        <v/>
      </c>
    </row>
    <row r="245" customFormat="false" ht="15" hidden="false" customHeight="false" outlineLevel="0" collapsed="false">
      <c r="A245" s="4"/>
      <c r="B245" s="5" t="str">
        <f aca="false">IF(AND(TRIM(A245)&lt;&gt;"",ISNUMBER(FIND(" MT"," "&amp;A245)),LEFT(A245,5)&lt;&gt;"DESC="),MAX(B$2:B244)+1,"")</f>
        <v/>
      </c>
    </row>
    <row r="246" customFormat="false" ht="15" hidden="false" customHeight="false" outlineLevel="0" collapsed="false">
      <c r="A246" s="4"/>
      <c r="B246" s="5" t="str">
        <f aca="false">IF(AND(TRIM(A246)&lt;&gt;"",ISNUMBER(FIND(" MT"," "&amp;A246)),LEFT(A246,5)&lt;&gt;"DESC="),MAX(B$2:B245)+1,"")</f>
        <v/>
      </c>
    </row>
    <row r="247" customFormat="false" ht="15" hidden="false" customHeight="false" outlineLevel="0" collapsed="false">
      <c r="A247" s="4"/>
      <c r="B247" s="5" t="str">
        <f aca="false">IF(AND(TRIM(A247)&lt;&gt;"",ISNUMBER(FIND(" MT"," "&amp;A247)),LEFT(A247,5)&lt;&gt;"DESC="),MAX(B$2:B246)+1,"")</f>
        <v/>
      </c>
    </row>
    <row r="248" customFormat="false" ht="15" hidden="false" customHeight="false" outlineLevel="0" collapsed="false">
      <c r="A248" s="4"/>
      <c r="B248" s="5" t="str">
        <f aca="false">IF(AND(TRIM(A248)&lt;&gt;"",ISNUMBER(FIND(" MT"," "&amp;A248)),LEFT(A248,5)&lt;&gt;"DESC="),MAX(B$2:B247)+1,"")</f>
        <v/>
      </c>
    </row>
    <row r="249" customFormat="false" ht="15" hidden="false" customHeight="false" outlineLevel="0" collapsed="false">
      <c r="A249" s="4"/>
      <c r="B249" s="5" t="str">
        <f aca="false">IF(AND(TRIM(A249)&lt;&gt;"",ISNUMBER(FIND(" MT"," "&amp;A249)),LEFT(A249,5)&lt;&gt;"DESC="),MAX(B$2:B248)+1,"")</f>
        <v/>
      </c>
    </row>
    <row r="250" customFormat="false" ht="15" hidden="false" customHeight="false" outlineLevel="0" collapsed="false">
      <c r="A250" s="4"/>
      <c r="B250" s="5" t="str">
        <f aca="false">IF(AND(TRIM(A250)&lt;&gt;"",ISNUMBER(FIND(" MT"," "&amp;A250)),LEFT(A250,5)&lt;&gt;"DESC="),MAX(B$2:B249)+1,"")</f>
        <v/>
      </c>
    </row>
    <row r="251" customFormat="false" ht="15" hidden="false" customHeight="false" outlineLevel="0" collapsed="false">
      <c r="A251" s="4"/>
      <c r="B251" s="5" t="str">
        <f aca="false">IF(AND(TRIM(A251)&lt;&gt;"",ISNUMBER(FIND(" MT"," "&amp;A251)),LEFT(A251,5)&lt;&gt;"DESC="),MAX(B$2:B250)+1,"")</f>
        <v/>
      </c>
    </row>
    <row r="252" customFormat="false" ht="15" hidden="false" customHeight="false" outlineLevel="0" collapsed="false">
      <c r="A252" s="4"/>
      <c r="B252" s="5" t="str">
        <f aca="false">IF(AND(TRIM(A252)&lt;&gt;"",ISNUMBER(FIND(" MT"," "&amp;A252)),LEFT(A252,5)&lt;&gt;"DESC="),MAX(B$2:B251)+1,"")</f>
        <v/>
      </c>
    </row>
    <row r="253" customFormat="false" ht="15" hidden="false" customHeight="false" outlineLevel="0" collapsed="false">
      <c r="A253" s="4"/>
      <c r="B253" s="5" t="str">
        <f aca="false">IF(AND(TRIM(A253)&lt;&gt;"",ISNUMBER(FIND(" MT"," "&amp;A253)),LEFT(A253,5)&lt;&gt;"DESC="),MAX(B$2:B252)+1,"")</f>
        <v/>
      </c>
    </row>
    <row r="254" customFormat="false" ht="15" hidden="false" customHeight="false" outlineLevel="0" collapsed="false">
      <c r="A254" s="4"/>
      <c r="B254" s="5" t="str">
        <f aca="false">IF(AND(TRIM(A254)&lt;&gt;"",ISNUMBER(FIND(" MT"," "&amp;A254)),LEFT(A254,5)&lt;&gt;"DESC="),MAX(B$2:B253)+1,"")</f>
        <v/>
      </c>
    </row>
    <row r="255" customFormat="false" ht="15" hidden="false" customHeight="false" outlineLevel="0" collapsed="false">
      <c r="A255" s="4"/>
      <c r="B255" s="5" t="str">
        <f aca="false">IF(AND(TRIM(A255)&lt;&gt;"",ISNUMBER(FIND(" MT"," "&amp;A255)),LEFT(A255,5)&lt;&gt;"DESC="),MAX(B$2:B254)+1,"")</f>
        <v/>
      </c>
    </row>
    <row r="256" customFormat="false" ht="15" hidden="false" customHeight="false" outlineLevel="0" collapsed="false">
      <c r="A256" s="4"/>
      <c r="B256" s="5" t="str">
        <f aca="false">IF(AND(TRIM(A256)&lt;&gt;"",ISNUMBER(FIND(" MT"," "&amp;A256)),LEFT(A256,5)&lt;&gt;"DESC="),MAX(B$2:B255)+1,"")</f>
        <v/>
      </c>
    </row>
    <row r="257" customFormat="false" ht="15" hidden="false" customHeight="false" outlineLevel="0" collapsed="false">
      <c r="A257" s="4"/>
      <c r="B257" s="5" t="str">
        <f aca="false">IF(AND(TRIM(A257)&lt;&gt;"",ISNUMBER(FIND(" MT"," "&amp;A257)),LEFT(A257,5)&lt;&gt;"DESC="),MAX(B$2:B256)+1,"")</f>
        <v/>
      </c>
    </row>
    <row r="258" customFormat="false" ht="15" hidden="false" customHeight="false" outlineLevel="0" collapsed="false">
      <c r="A258" s="4"/>
      <c r="B258" s="5" t="str">
        <f aca="false">IF(AND(TRIM(A258)&lt;&gt;"",ISNUMBER(FIND(" MT"," "&amp;A258)),LEFT(A258,5)&lt;&gt;"DESC="),MAX(B$2:B257)+1,"")</f>
        <v/>
      </c>
    </row>
    <row r="259" customFormat="false" ht="15" hidden="false" customHeight="false" outlineLevel="0" collapsed="false">
      <c r="A259" s="4"/>
      <c r="B259" s="5" t="str">
        <f aca="false">IF(AND(TRIM(A259)&lt;&gt;"",ISNUMBER(FIND(" MT"," "&amp;A259)),LEFT(A259,5)&lt;&gt;"DESC="),MAX(B$2:B258)+1,"")</f>
        <v/>
      </c>
    </row>
    <row r="260" customFormat="false" ht="15" hidden="false" customHeight="false" outlineLevel="0" collapsed="false">
      <c r="A260" s="4"/>
      <c r="B260" s="5" t="str">
        <f aca="false">IF(AND(TRIM(A260)&lt;&gt;"",ISNUMBER(FIND(" MT"," "&amp;A260)),LEFT(A260,5)&lt;&gt;"DESC="),MAX(B$2:B259)+1,"")</f>
        <v/>
      </c>
    </row>
    <row r="261" customFormat="false" ht="15" hidden="false" customHeight="false" outlineLevel="0" collapsed="false">
      <c r="A261" s="4"/>
      <c r="B261" s="5" t="str">
        <f aca="false">IF(AND(TRIM(A261)&lt;&gt;"",ISNUMBER(FIND(" MT"," "&amp;A261)),LEFT(A261,5)&lt;&gt;"DESC="),MAX(B$2:B260)+1,"")</f>
        <v/>
      </c>
    </row>
    <row r="262" customFormat="false" ht="15" hidden="false" customHeight="false" outlineLevel="0" collapsed="false">
      <c r="A262" s="4"/>
      <c r="B262" s="5" t="str">
        <f aca="false">IF(AND(TRIM(A262)&lt;&gt;"",ISNUMBER(FIND(" MT"," "&amp;A262)),LEFT(A262,5)&lt;&gt;"DESC="),MAX(B$2:B261)+1,"")</f>
        <v/>
      </c>
    </row>
    <row r="263" customFormat="false" ht="15" hidden="false" customHeight="false" outlineLevel="0" collapsed="false">
      <c r="A263" s="4"/>
      <c r="B263" s="5" t="str">
        <f aca="false">IF(AND(TRIM(A263)&lt;&gt;"",ISNUMBER(FIND(" MT"," "&amp;A263)),LEFT(A263,5)&lt;&gt;"DESC="),MAX(B$2:B262)+1,"")</f>
        <v/>
      </c>
    </row>
    <row r="264" customFormat="false" ht="15" hidden="false" customHeight="false" outlineLevel="0" collapsed="false">
      <c r="A264" s="4"/>
      <c r="B264" s="5" t="str">
        <f aca="false">IF(AND(TRIM(A264)&lt;&gt;"",ISNUMBER(FIND(" MT"," "&amp;A264)),LEFT(A264,5)&lt;&gt;"DESC="),MAX(B$2:B263)+1,"")</f>
        <v/>
      </c>
    </row>
    <row r="265" customFormat="false" ht="15" hidden="false" customHeight="false" outlineLevel="0" collapsed="false">
      <c r="A265" s="4"/>
      <c r="B265" s="5" t="str">
        <f aca="false">IF(AND(TRIM(A265)&lt;&gt;"",ISNUMBER(FIND(" MT"," "&amp;A265)),LEFT(A265,5)&lt;&gt;"DESC="),MAX(B$2:B264)+1,"")</f>
        <v/>
      </c>
    </row>
    <row r="266" customFormat="false" ht="15" hidden="false" customHeight="false" outlineLevel="0" collapsed="false">
      <c r="A266" s="4"/>
      <c r="B266" s="5" t="str">
        <f aca="false">IF(AND(TRIM(A266)&lt;&gt;"",ISNUMBER(FIND(" MT"," "&amp;A266)),LEFT(A266,5)&lt;&gt;"DESC="),MAX(B$2:B265)+1,"")</f>
        <v/>
      </c>
    </row>
    <row r="267" customFormat="false" ht="15" hidden="false" customHeight="false" outlineLevel="0" collapsed="false">
      <c r="A267" s="4"/>
      <c r="B267" s="5" t="str">
        <f aca="false">IF(AND(TRIM(A267)&lt;&gt;"",ISNUMBER(FIND(" MT"," "&amp;A267)),LEFT(A267,5)&lt;&gt;"DESC="),MAX(B$2:B266)+1,"")</f>
        <v/>
      </c>
    </row>
    <row r="268" customFormat="false" ht="15" hidden="false" customHeight="false" outlineLevel="0" collapsed="false">
      <c r="A268" s="4"/>
      <c r="B268" s="5" t="str">
        <f aca="false">IF(AND(TRIM(A268)&lt;&gt;"",ISNUMBER(FIND(" MT"," "&amp;A268)),LEFT(A268,5)&lt;&gt;"DESC="),MAX(B$2:B267)+1,"")</f>
        <v/>
      </c>
    </row>
    <row r="269" customFormat="false" ht="15" hidden="false" customHeight="false" outlineLevel="0" collapsed="false">
      <c r="A269" s="4"/>
      <c r="B269" s="5" t="str">
        <f aca="false">IF(AND(TRIM(A269)&lt;&gt;"",ISNUMBER(FIND(" MT"," "&amp;A269)),LEFT(A269,5)&lt;&gt;"DESC="),MAX(B$2:B268)+1,"")</f>
        <v/>
      </c>
    </row>
    <row r="270" customFormat="false" ht="15" hidden="false" customHeight="false" outlineLevel="0" collapsed="false">
      <c r="A270" s="4"/>
      <c r="B270" s="5" t="str">
        <f aca="false">IF(AND(TRIM(A270)&lt;&gt;"",ISNUMBER(FIND(" MT"," "&amp;A270)),LEFT(A270,5)&lt;&gt;"DESC="),MAX(B$2:B269)+1,"")</f>
        <v/>
      </c>
    </row>
    <row r="271" customFormat="false" ht="15" hidden="false" customHeight="false" outlineLevel="0" collapsed="false">
      <c r="A271" s="4"/>
      <c r="B271" s="5" t="str">
        <f aca="false">IF(AND(TRIM(A271)&lt;&gt;"",ISNUMBER(FIND(" MT"," "&amp;A271)),LEFT(A271,5)&lt;&gt;"DESC="),MAX(B$2:B270)+1,"")</f>
        <v/>
      </c>
    </row>
    <row r="272" customFormat="false" ht="15" hidden="false" customHeight="false" outlineLevel="0" collapsed="false">
      <c r="A272" s="4"/>
      <c r="B272" s="5" t="str">
        <f aca="false">IF(AND(TRIM(A272)&lt;&gt;"",ISNUMBER(FIND(" MT"," "&amp;A272)),LEFT(A272,5)&lt;&gt;"DESC="),MAX(B$2:B271)+1,"")</f>
        <v/>
      </c>
    </row>
    <row r="273" customFormat="false" ht="15" hidden="false" customHeight="false" outlineLevel="0" collapsed="false">
      <c r="A273" s="4"/>
      <c r="B273" s="5" t="str">
        <f aca="false">IF(AND(TRIM(A273)&lt;&gt;"",ISNUMBER(FIND(" MT"," "&amp;A273)),LEFT(A273,5)&lt;&gt;"DESC="),MAX(B$2:B272)+1,"")</f>
        <v/>
      </c>
    </row>
    <row r="274" customFormat="false" ht="15" hidden="false" customHeight="false" outlineLevel="0" collapsed="false">
      <c r="A274" s="4"/>
      <c r="B274" s="5" t="str">
        <f aca="false">IF(AND(TRIM(A274)&lt;&gt;"",ISNUMBER(FIND(" MT"," "&amp;A274)),LEFT(A274,5)&lt;&gt;"DESC="),MAX(B$2:B273)+1,"")</f>
        <v/>
      </c>
    </row>
    <row r="275" customFormat="false" ht="15" hidden="false" customHeight="false" outlineLevel="0" collapsed="false">
      <c r="A275" s="4"/>
      <c r="B275" s="5" t="str">
        <f aca="false">IF(AND(TRIM(A275)&lt;&gt;"",ISNUMBER(FIND(" MT"," "&amp;A275)),LEFT(A275,5)&lt;&gt;"DESC="),MAX(B$2:B274)+1,"")</f>
        <v/>
      </c>
    </row>
    <row r="276" customFormat="false" ht="15" hidden="false" customHeight="false" outlineLevel="0" collapsed="false">
      <c r="A276" s="4"/>
      <c r="B276" s="5" t="str">
        <f aca="false">IF(AND(TRIM(A276)&lt;&gt;"",ISNUMBER(FIND(" MT"," "&amp;A276)),LEFT(A276,5)&lt;&gt;"DESC="),MAX(B$2:B275)+1,"")</f>
        <v/>
      </c>
    </row>
    <row r="277" customFormat="false" ht="15" hidden="false" customHeight="false" outlineLevel="0" collapsed="false">
      <c r="A277" s="4"/>
      <c r="B277" s="5" t="str">
        <f aca="false">IF(AND(TRIM(A277)&lt;&gt;"",ISNUMBER(FIND(" MT"," "&amp;A277)),LEFT(A277,5)&lt;&gt;"DESC="),MAX(B$2:B276)+1,"")</f>
        <v/>
      </c>
    </row>
    <row r="278" customFormat="false" ht="15" hidden="false" customHeight="false" outlineLevel="0" collapsed="false">
      <c r="A278" s="4"/>
      <c r="B278" s="5" t="str">
        <f aca="false">IF(AND(TRIM(A278)&lt;&gt;"",ISNUMBER(FIND(" MT"," "&amp;A278)),LEFT(A278,5)&lt;&gt;"DESC="),MAX(B$2:B277)+1,"")</f>
        <v/>
      </c>
    </row>
    <row r="279" customFormat="false" ht="15" hidden="false" customHeight="false" outlineLevel="0" collapsed="false">
      <c r="A279" s="4"/>
      <c r="B279" s="5" t="str">
        <f aca="false">IF(AND(TRIM(A279)&lt;&gt;"",ISNUMBER(FIND(" MT"," "&amp;A279)),LEFT(A279,5)&lt;&gt;"DESC="),MAX(B$2:B278)+1,"")</f>
        <v/>
      </c>
    </row>
    <row r="280" customFormat="false" ht="15" hidden="false" customHeight="false" outlineLevel="0" collapsed="false">
      <c r="A280" s="4"/>
      <c r="B280" s="5" t="str">
        <f aca="false">IF(AND(TRIM(A280)&lt;&gt;"",ISNUMBER(FIND(" MT"," "&amp;A280)),LEFT(A280,5)&lt;&gt;"DESC="),MAX(B$2:B279)+1,"")</f>
        <v/>
      </c>
    </row>
    <row r="281" customFormat="false" ht="15" hidden="false" customHeight="false" outlineLevel="0" collapsed="false">
      <c r="A281" s="4"/>
      <c r="B281" s="5" t="str">
        <f aca="false">IF(AND(TRIM(A281)&lt;&gt;"",ISNUMBER(FIND(" MT"," "&amp;A281)),LEFT(A281,5)&lt;&gt;"DESC="),MAX(B$2:B280)+1,"")</f>
        <v/>
      </c>
    </row>
    <row r="282" customFormat="false" ht="15" hidden="false" customHeight="false" outlineLevel="0" collapsed="false">
      <c r="A282" s="4"/>
      <c r="B282" s="5" t="str">
        <f aca="false">IF(AND(TRIM(A282)&lt;&gt;"",ISNUMBER(FIND(" MT"," "&amp;A282)),LEFT(A282,5)&lt;&gt;"DESC="),MAX(B$2:B281)+1,"")</f>
        <v/>
      </c>
    </row>
    <row r="283" customFormat="false" ht="15" hidden="false" customHeight="false" outlineLevel="0" collapsed="false">
      <c r="A283" s="4"/>
      <c r="B283" s="5" t="str">
        <f aca="false">IF(AND(TRIM(A283)&lt;&gt;"",ISNUMBER(FIND(" MT"," "&amp;A283)),LEFT(A283,5)&lt;&gt;"DESC="),MAX(B$2:B282)+1,"")</f>
        <v/>
      </c>
    </row>
    <row r="284" customFormat="false" ht="15" hidden="false" customHeight="false" outlineLevel="0" collapsed="false">
      <c r="A284" s="4"/>
      <c r="B284" s="5" t="str">
        <f aca="false">IF(AND(TRIM(A284)&lt;&gt;"",ISNUMBER(FIND(" MT"," "&amp;A284)),LEFT(A284,5)&lt;&gt;"DESC="),MAX(B$2:B283)+1,"")</f>
        <v/>
      </c>
    </row>
    <row r="285" customFormat="false" ht="15" hidden="false" customHeight="false" outlineLevel="0" collapsed="false">
      <c r="A285" s="4"/>
      <c r="B285" s="5" t="str">
        <f aca="false">IF(AND(TRIM(A285)&lt;&gt;"",ISNUMBER(FIND(" MT"," "&amp;A285)),LEFT(A285,5)&lt;&gt;"DESC="),MAX(B$2:B284)+1,"")</f>
        <v/>
      </c>
    </row>
    <row r="286" customFormat="false" ht="15" hidden="false" customHeight="false" outlineLevel="0" collapsed="false">
      <c r="A286" s="4"/>
      <c r="B286" s="5" t="str">
        <f aca="false">IF(AND(TRIM(A286)&lt;&gt;"",ISNUMBER(FIND(" MT"," "&amp;A286)),LEFT(A286,5)&lt;&gt;"DESC="),MAX(B$2:B285)+1,"")</f>
        <v/>
      </c>
    </row>
    <row r="287" customFormat="false" ht="15" hidden="false" customHeight="false" outlineLevel="0" collapsed="false">
      <c r="A287" s="4"/>
      <c r="B287" s="5" t="str">
        <f aca="false">IF(AND(TRIM(A287)&lt;&gt;"",ISNUMBER(FIND(" MT"," "&amp;A287)),LEFT(A287,5)&lt;&gt;"DESC="),MAX(B$2:B286)+1,"")</f>
        <v/>
      </c>
    </row>
    <row r="288" customFormat="false" ht="15" hidden="false" customHeight="false" outlineLevel="0" collapsed="false">
      <c r="A288" s="4"/>
      <c r="B288" s="5" t="str">
        <f aca="false">IF(AND(TRIM(A288)&lt;&gt;"",ISNUMBER(FIND(" MT"," "&amp;A288)),LEFT(A288,5)&lt;&gt;"DESC="),MAX(B$2:B287)+1,"")</f>
        <v/>
      </c>
    </row>
    <row r="289" customFormat="false" ht="15" hidden="false" customHeight="false" outlineLevel="0" collapsed="false">
      <c r="A289" s="4"/>
      <c r="B289" s="5" t="str">
        <f aca="false">IF(AND(TRIM(A289)&lt;&gt;"",ISNUMBER(FIND(" MT"," "&amp;A289)),LEFT(A289,5)&lt;&gt;"DESC="),MAX(B$2:B288)+1,"")</f>
        <v/>
      </c>
    </row>
    <row r="290" customFormat="false" ht="15" hidden="false" customHeight="false" outlineLevel="0" collapsed="false">
      <c r="A290" s="4"/>
      <c r="B290" s="5" t="str">
        <f aca="false">IF(AND(TRIM(A290)&lt;&gt;"",ISNUMBER(FIND(" MT"," "&amp;A290)),LEFT(A290,5)&lt;&gt;"DESC="),MAX(B$2:B289)+1,"")</f>
        <v/>
      </c>
    </row>
    <row r="291" customFormat="false" ht="15" hidden="false" customHeight="false" outlineLevel="0" collapsed="false">
      <c r="A291" s="4"/>
      <c r="B291" s="5" t="str">
        <f aca="false">IF(AND(TRIM(A291)&lt;&gt;"",ISNUMBER(FIND(" MT"," "&amp;A291)),LEFT(A291,5)&lt;&gt;"DESC="),MAX(B$2:B290)+1,"")</f>
        <v/>
      </c>
    </row>
    <row r="292" customFormat="false" ht="15" hidden="false" customHeight="false" outlineLevel="0" collapsed="false">
      <c r="A292" s="4"/>
      <c r="B292" s="5" t="str">
        <f aca="false">IF(AND(TRIM(A292)&lt;&gt;"",ISNUMBER(FIND(" MT"," "&amp;A292)),LEFT(A292,5)&lt;&gt;"DESC="),MAX(B$2:B291)+1,"")</f>
        <v/>
      </c>
    </row>
    <row r="293" customFormat="false" ht="15" hidden="false" customHeight="false" outlineLevel="0" collapsed="false">
      <c r="A293" s="4"/>
      <c r="B293" s="5" t="str">
        <f aca="false">IF(AND(TRIM(A293)&lt;&gt;"",ISNUMBER(FIND(" MT"," "&amp;A293)),LEFT(A293,5)&lt;&gt;"DESC="),MAX(B$2:B292)+1,"")</f>
        <v/>
      </c>
    </row>
    <row r="294" customFormat="false" ht="15" hidden="false" customHeight="false" outlineLevel="0" collapsed="false">
      <c r="A294" s="4"/>
      <c r="B294" s="5" t="str">
        <f aca="false">IF(AND(TRIM(A294)&lt;&gt;"",ISNUMBER(FIND(" MT"," "&amp;A294)),LEFT(A294,5)&lt;&gt;"DESC="),MAX(B$2:B293)+1,"")</f>
        <v/>
      </c>
    </row>
    <row r="295" customFormat="false" ht="15" hidden="false" customHeight="false" outlineLevel="0" collapsed="false">
      <c r="A295" s="4"/>
      <c r="B295" s="5" t="str">
        <f aca="false">IF(AND(TRIM(A295)&lt;&gt;"",ISNUMBER(FIND(" MT"," "&amp;A295)),LEFT(A295,5)&lt;&gt;"DESC="),MAX(B$2:B294)+1,"")</f>
        <v/>
      </c>
    </row>
    <row r="296" customFormat="false" ht="15" hidden="false" customHeight="false" outlineLevel="0" collapsed="false">
      <c r="A296" s="4"/>
      <c r="B296" s="5" t="str">
        <f aca="false">IF(AND(TRIM(A296)&lt;&gt;"",ISNUMBER(FIND(" MT"," "&amp;A296)),LEFT(A296,5)&lt;&gt;"DESC="),MAX(B$2:B295)+1,"")</f>
        <v/>
      </c>
    </row>
    <row r="297" customFormat="false" ht="15" hidden="false" customHeight="false" outlineLevel="0" collapsed="false">
      <c r="A297" s="4"/>
      <c r="B297" s="5" t="str">
        <f aca="false">IF(AND(TRIM(A297)&lt;&gt;"",ISNUMBER(FIND(" MT"," "&amp;A297)),LEFT(A297,5)&lt;&gt;"DESC="),MAX(B$2:B296)+1,"")</f>
        <v/>
      </c>
    </row>
    <row r="298" customFormat="false" ht="15" hidden="false" customHeight="false" outlineLevel="0" collapsed="false">
      <c r="A298" s="4"/>
      <c r="B298" s="5" t="str">
        <f aca="false">IF(AND(TRIM(A298)&lt;&gt;"",ISNUMBER(FIND(" MT"," "&amp;A298)),LEFT(A298,5)&lt;&gt;"DESC="),MAX(B$2:B297)+1,"")</f>
        <v/>
      </c>
    </row>
    <row r="299" customFormat="false" ht="15" hidden="false" customHeight="false" outlineLevel="0" collapsed="false">
      <c r="A299" s="4"/>
      <c r="B299" s="5" t="str">
        <f aca="false">IF(AND(TRIM(A299)&lt;&gt;"",ISNUMBER(FIND(" MT"," "&amp;A299)),LEFT(A299,5)&lt;&gt;"DESC="),MAX(B$2:B298)+1,"")</f>
        <v/>
      </c>
    </row>
    <row r="300" customFormat="false" ht="15" hidden="false" customHeight="false" outlineLevel="0" collapsed="false">
      <c r="A300" s="4"/>
      <c r="B300" s="5" t="str">
        <f aca="false">IF(AND(TRIM(A300)&lt;&gt;"",ISNUMBER(FIND(" MT"," "&amp;A300)),LEFT(A300,5)&lt;&gt;"DESC="),MAX(B$2:B299)+1,"")</f>
        <v/>
      </c>
    </row>
    <row r="301" customFormat="false" ht="15" hidden="false" customHeight="false" outlineLevel="0" collapsed="false">
      <c r="A301" s="4"/>
      <c r="B301" s="5" t="str">
        <f aca="false">IF(AND(TRIM(A301)&lt;&gt;"",ISNUMBER(FIND(" MT"," "&amp;A301)),LEFT(A301,5)&lt;&gt;"DESC="),MAX(B$2:B300)+1,"")</f>
        <v/>
      </c>
    </row>
    <row r="302" customFormat="false" ht="15" hidden="false" customHeight="false" outlineLevel="0" collapsed="false">
      <c r="A302" s="4"/>
      <c r="B302" s="5" t="str">
        <f aca="false">IF(AND(TRIM(A302)&lt;&gt;"",ISNUMBER(FIND(" MT"," "&amp;A302)),LEFT(A302,5)&lt;&gt;"DESC="),MAX(B$2:B301)+1,"")</f>
        <v/>
      </c>
    </row>
    <row r="303" customFormat="false" ht="15" hidden="false" customHeight="false" outlineLevel="0" collapsed="false">
      <c r="A303" s="4"/>
      <c r="B303" s="5" t="str">
        <f aca="false">IF(AND(TRIM(A303)&lt;&gt;"",ISNUMBER(FIND(" MT"," "&amp;A303)),LEFT(A303,5)&lt;&gt;"DESC="),MAX(B$2:B302)+1,"")</f>
        <v/>
      </c>
    </row>
    <row r="304" customFormat="false" ht="15" hidden="false" customHeight="false" outlineLevel="0" collapsed="false">
      <c r="A304" s="4"/>
      <c r="B304" s="5" t="str">
        <f aca="false">IF(AND(TRIM(A304)&lt;&gt;"",ISNUMBER(FIND(" MT"," "&amp;A304)),LEFT(A304,5)&lt;&gt;"DESC="),MAX(B$2:B303)+1,"")</f>
        <v/>
      </c>
    </row>
    <row r="305" customFormat="false" ht="15" hidden="false" customHeight="false" outlineLevel="0" collapsed="false">
      <c r="A305" s="4"/>
      <c r="B305" s="5" t="str">
        <f aca="false">IF(AND(TRIM(A305)&lt;&gt;"",ISNUMBER(FIND(" MT"," "&amp;A305)),LEFT(A305,5)&lt;&gt;"DESC="),MAX(B$2:B304)+1,"")</f>
        <v/>
      </c>
    </row>
    <row r="306" customFormat="false" ht="15" hidden="false" customHeight="false" outlineLevel="0" collapsed="false">
      <c r="A306" s="4"/>
      <c r="B306" s="5" t="str">
        <f aca="false">IF(AND(TRIM(A306)&lt;&gt;"",ISNUMBER(FIND(" MT"," "&amp;A306)),LEFT(A306,5)&lt;&gt;"DESC="),MAX(B$2:B305)+1,"")</f>
        <v/>
      </c>
    </row>
    <row r="307" customFormat="false" ht="15" hidden="false" customHeight="false" outlineLevel="0" collapsed="false">
      <c r="A307" s="4"/>
      <c r="B307" s="5" t="str">
        <f aca="false">IF(AND(TRIM(A307)&lt;&gt;"",ISNUMBER(FIND(" MT"," "&amp;A307)),LEFT(A307,5)&lt;&gt;"DESC="),MAX(B$2:B306)+1,"")</f>
        <v/>
      </c>
    </row>
    <row r="308" customFormat="false" ht="15" hidden="false" customHeight="false" outlineLevel="0" collapsed="false">
      <c r="A308" s="4"/>
      <c r="B308" s="5" t="str">
        <f aca="false">IF(AND(TRIM(A308)&lt;&gt;"",ISNUMBER(FIND(" MT"," "&amp;A308)),LEFT(A308,5)&lt;&gt;"DESC="),MAX(B$2:B307)+1,"")</f>
        <v/>
      </c>
    </row>
    <row r="309" customFormat="false" ht="15" hidden="false" customHeight="false" outlineLevel="0" collapsed="false">
      <c r="A309" s="4"/>
      <c r="B309" s="5" t="str">
        <f aca="false">IF(AND(TRIM(A309)&lt;&gt;"",ISNUMBER(FIND(" MT"," "&amp;A309)),LEFT(A309,5)&lt;&gt;"DESC="),MAX(B$2:B308)+1,"")</f>
        <v/>
      </c>
    </row>
    <row r="310" customFormat="false" ht="15" hidden="false" customHeight="false" outlineLevel="0" collapsed="false">
      <c r="A310" s="4"/>
      <c r="B310" s="5" t="str">
        <f aca="false">IF(AND(TRIM(A310)&lt;&gt;"",ISNUMBER(FIND(" MT"," "&amp;A310)),LEFT(A310,5)&lt;&gt;"DESC="),MAX(B$2:B309)+1,"")</f>
        <v/>
      </c>
    </row>
    <row r="311" customFormat="false" ht="15" hidden="false" customHeight="false" outlineLevel="0" collapsed="false">
      <c r="A311" s="4"/>
      <c r="B311" s="5" t="str">
        <f aca="false">IF(AND(TRIM(A311)&lt;&gt;"",ISNUMBER(FIND(" MT"," "&amp;A311)),LEFT(A311,5)&lt;&gt;"DESC="),MAX(B$2:B310)+1,"")</f>
        <v/>
      </c>
    </row>
    <row r="312" customFormat="false" ht="15" hidden="false" customHeight="false" outlineLevel="0" collapsed="false">
      <c r="A312" s="4"/>
      <c r="B312" s="5" t="str">
        <f aca="false">IF(AND(TRIM(A312)&lt;&gt;"",ISNUMBER(FIND(" MT"," "&amp;A312)),LEFT(A312,5)&lt;&gt;"DESC="),MAX(B$2:B311)+1,"")</f>
        <v/>
      </c>
    </row>
    <row r="313" customFormat="false" ht="15" hidden="false" customHeight="false" outlineLevel="0" collapsed="false">
      <c r="A313" s="4"/>
      <c r="B313" s="5" t="str">
        <f aca="false">IF(AND(TRIM(A313)&lt;&gt;"",ISNUMBER(FIND(" MT"," "&amp;A313)),LEFT(A313,5)&lt;&gt;"DESC="),MAX(B$2:B312)+1,"")</f>
        <v/>
      </c>
    </row>
    <row r="314" customFormat="false" ht="15" hidden="false" customHeight="false" outlineLevel="0" collapsed="false">
      <c r="A314" s="4"/>
      <c r="B314" s="5" t="str">
        <f aca="false">IF(AND(TRIM(A314)&lt;&gt;"",ISNUMBER(FIND(" MT"," "&amp;A314)),LEFT(A314,5)&lt;&gt;"DESC="),MAX(B$2:B313)+1,"")</f>
        <v/>
      </c>
    </row>
    <row r="315" customFormat="false" ht="15" hidden="false" customHeight="false" outlineLevel="0" collapsed="false">
      <c r="A315" s="4"/>
      <c r="B315" s="5" t="str">
        <f aca="false">IF(AND(TRIM(A315)&lt;&gt;"",ISNUMBER(FIND(" MT"," "&amp;A315)),LEFT(A315,5)&lt;&gt;"DESC="),MAX(B$2:B314)+1,"")</f>
        <v/>
      </c>
    </row>
    <row r="316" customFormat="false" ht="15" hidden="false" customHeight="false" outlineLevel="0" collapsed="false">
      <c r="A316" s="4"/>
      <c r="B316" s="5" t="str">
        <f aca="false">IF(AND(TRIM(A316)&lt;&gt;"",ISNUMBER(FIND(" MT"," "&amp;A316)),LEFT(A316,5)&lt;&gt;"DESC="),MAX(B$2:B315)+1,"")</f>
        <v/>
      </c>
    </row>
    <row r="317" customFormat="false" ht="15" hidden="false" customHeight="false" outlineLevel="0" collapsed="false">
      <c r="A317" s="4"/>
      <c r="B317" s="5" t="str">
        <f aca="false">IF(AND(TRIM(A317)&lt;&gt;"",ISNUMBER(FIND(" MT"," "&amp;A317)),LEFT(A317,5)&lt;&gt;"DESC="),MAX(B$2:B316)+1,"")</f>
        <v/>
      </c>
    </row>
    <row r="318" customFormat="false" ht="15" hidden="false" customHeight="false" outlineLevel="0" collapsed="false">
      <c r="A318" s="4"/>
      <c r="B318" s="5" t="str">
        <f aca="false">IF(AND(TRIM(A318)&lt;&gt;"",ISNUMBER(FIND(" MT"," "&amp;A318)),LEFT(A318,5)&lt;&gt;"DESC="),MAX(B$2:B317)+1,"")</f>
        <v/>
      </c>
    </row>
    <row r="319" customFormat="false" ht="15" hidden="false" customHeight="false" outlineLevel="0" collapsed="false">
      <c r="A319" s="4"/>
      <c r="B319" s="5" t="str">
        <f aca="false">IF(AND(TRIM(A319)&lt;&gt;"",ISNUMBER(FIND(" MT"," "&amp;A319)),LEFT(A319,5)&lt;&gt;"DESC="),MAX(B$2:B318)+1,"")</f>
        <v/>
      </c>
    </row>
    <row r="320" customFormat="false" ht="15" hidden="false" customHeight="false" outlineLevel="0" collapsed="false">
      <c r="A320" s="4"/>
      <c r="B320" s="5" t="str">
        <f aca="false">IF(AND(TRIM(A320)&lt;&gt;"",ISNUMBER(FIND(" MT"," "&amp;A320)),LEFT(A320,5)&lt;&gt;"DESC="),MAX(B$2:B319)+1,"")</f>
        <v/>
      </c>
    </row>
    <row r="321" customFormat="false" ht="15" hidden="false" customHeight="false" outlineLevel="0" collapsed="false">
      <c r="A321" s="4"/>
      <c r="B321" s="5" t="str">
        <f aca="false">IF(AND(TRIM(A321)&lt;&gt;"",ISNUMBER(FIND(" MT"," "&amp;A321)),LEFT(A321,5)&lt;&gt;"DESC="),MAX(B$2:B320)+1,"")</f>
        <v/>
      </c>
    </row>
    <row r="322" customFormat="false" ht="15" hidden="false" customHeight="false" outlineLevel="0" collapsed="false">
      <c r="A322" s="4"/>
      <c r="B322" s="5" t="str">
        <f aca="false">IF(AND(TRIM(A322)&lt;&gt;"",ISNUMBER(FIND(" MT"," "&amp;A322)),LEFT(A322,5)&lt;&gt;"DESC="),MAX(B$2:B321)+1,"")</f>
        <v/>
      </c>
    </row>
    <row r="323" customFormat="false" ht="15" hidden="false" customHeight="false" outlineLevel="0" collapsed="false">
      <c r="A323" s="4"/>
      <c r="B323" s="5" t="str">
        <f aca="false">IF(AND(TRIM(A323)&lt;&gt;"",ISNUMBER(FIND(" MT"," "&amp;A323)),LEFT(A323,5)&lt;&gt;"DESC="),MAX(B$2:B322)+1,"")</f>
        <v/>
      </c>
    </row>
    <row r="324" customFormat="false" ht="15" hidden="false" customHeight="false" outlineLevel="0" collapsed="false">
      <c r="A324" s="4"/>
      <c r="B324" s="5" t="str">
        <f aca="false">IF(AND(TRIM(A324)&lt;&gt;"",ISNUMBER(FIND(" MT"," "&amp;A324)),LEFT(A324,5)&lt;&gt;"DESC="),MAX(B$2:B323)+1,"")</f>
        <v/>
      </c>
    </row>
    <row r="325" customFormat="false" ht="15" hidden="false" customHeight="false" outlineLevel="0" collapsed="false">
      <c r="A325" s="4"/>
      <c r="B325" s="5" t="str">
        <f aca="false">IF(AND(TRIM(A325)&lt;&gt;"",ISNUMBER(FIND(" MT"," "&amp;A325)),LEFT(A325,5)&lt;&gt;"DESC="),MAX(B$2:B324)+1,"")</f>
        <v/>
      </c>
    </row>
    <row r="326" customFormat="false" ht="15" hidden="false" customHeight="false" outlineLevel="0" collapsed="false">
      <c r="A326" s="4"/>
      <c r="B326" s="5" t="str">
        <f aca="false">IF(AND(TRIM(A326)&lt;&gt;"",ISNUMBER(FIND(" MT"," "&amp;A326)),LEFT(A326,5)&lt;&gt;"DESC="),MAX(B$2:B325)+1,"")</f>
        <v/>
      </c>
    </row>
    <row r="327" customFormat="false" ht="15" hidden="false" customHeight="false" outlineLevel="0" collapsed="false">
      <c r="A327" s="4"/>
      <c r="B327" s="5" t="str">
        <f aca="false">IF(AND(TRIM(A327)&lt;&gt;"",ISNUMBER(FIND(" MT"," "&amp;A327)),LEFT(A327,5)&lt;&gt;"DESC="),MAX(B$2:B326)+1,"")</f>
        <v/>
      </c>
    </row>
    <row r="328" customFormat="false" ht="15" hidden="false" customHeight="false" outlineLevel="0" collapsed="false">
      <c r="A328" s="4"/>
      <c r="B328" s="5" t="str">
        <f aca="false">IF(AND(TRIM(A328)&lt;&gt;"",ISNUMBER(FIND(" MT"," "&amp;A328)),LEFT(A328,5)&lt;&gt;"DESC="),MAX(B$2:B327)+1,"")</f>
        <v/>
      </c>
    </row>
    <row r="329" customFormat="false" ht="15" hidden="false" customHeight="false" outlineLevel="0" collapsed="false">
      <c r="A329" s="4"/>
      <c r="B329" s="5" t="str">
        <f aca="false">IF(AND(TRIM(A329)&lt;&gt;"",ISNUMBER(FIND(" MT"," "&amp;A329)),LEFT(A329,5)&lt;&gt;"DESC="),MAX(B$2:B328)+1,"")</f>
        <v/>
      </c>
    </row>
    <row r="330" customFormat="false" ht="15" hidden="false" customHeight="false" outlineLevel="0" collapsed="false">
      <c r="A330" s="4"/>
      <c r="B330" s="5" t="str">
        <f aca="false">IF(AND(TRIM(A330)&lt;&gt;"",ISNUMBER(FIND(" MT"," "&amp;A330)),LEFT(A330,5)&lt;&gt;"DESC="),MAX(B$2:B329)+1,"")</f>
        <v/>
      </c>
    </row>
    <row r="331" customFormat="false" ht="15" hidden="false" customHeight="false" outlineLevel="0" collapsed="false">
      <c r="A331" s="4"/>
      <c r="B331" s="5" t="str">
        <f aca="false">IF(AND(TRIM(A331)&lt;&gt;"",ISNUMBER(FIND(" MT"," "&amp;A331)),LEFT(A331,5)&lt;&gt;"DESC="),MAX(B$2:B330)+1,"")</f>
        <v/>
      </c>
    </row>
    <row r="332" customFormat="false" ht="15" hidden="false" customHeight="false" outlineLevel="0" collapsed="false">
      <c r="A332" s="4"/>
      <c r="B332" s="5" t="str">
        <f aca="false">IF(AND(TRIM(A332)&lt;&gt;"",ISNUMBER(FIND(" MT"," "&amp;A332)),LEFT(A332,5)&lt;&gt;"DESC="),MAX(B$2:B331)+1,"")</f>
        <v/>
      </c>
    </row>
    <row r="333" customFormat="false" ht="15" hidden="false" customHeight="false" outlineLevel="0" collapsed="false">
      <c r="A333" s="4"/>
      <c r="B333" s="5" t="str">
        <f aca="false">IF(AND(TRIM(A333)&lt;&gt;"",ISNUMBER(FIND(" MT"," "&amp;A333)),LEFT(A333,5)&lt;&gt;"DESC="),MAX(B$2:B332)+1,"")</f>
        <v/>
      </c>
    </row>
    <row r="334" customFormat="false" ht="15" hidden="false" customHeight="false" outlineLevel="0" collapsed="false">
      <c r="A334" s="4"/>
      <c r="B334" s="5" t="str">
        <f aca="false">IF(AND(TRIM(A334)&lt;&gt;"",ISNUMBER(FIND(" MT"," "&amp;A334)),LEFT(A334,5)&lt;&gt;"DESC="),MAX(B$2:B333)+1,"")</f>
        <v/>
      </c>
    </row>
    <row r="335" customFormat="false" ht="15" hidden="false" customHeight="false" outlineLevel="0" collapsed="false">
      <c r="A335" s="4"/>
      <c r="B335" s="5" t="str">
        <f aca="false">IF(AND(TRIM(A335)&lt;&gt;"",ISNUMBER(FIND(" MT"," "&amp;A335)),LEFT(A335,5)&lt;&gt;"DESC="),MAX(B$2:B334)+1,"")</f>
        <v/>
      </c>
    </row>
    <row r="336" customFormat="false" ht="15" hidden="false" customHeight="false" outlineLevel="0" collapsed="false">
      <c r="A336" s="4"/>
      <c r="B336" s="5" t="str">
        <f aca="false">IF(AND(TRIM(A336)&lt;&gt;"",ISNUMBER(FIND(" MT"," "&amp;A336)),LEFT(A336,5)&lt;&gt;"DESC="),MAX(B$2:B335)+1,"")</f>
        <v/>
      </c>
    </row>
    <row r="337" customFormat="false" ht="15" hidden="false" customHeight="false" outlineLevel="0" collapsed="false">
      <c r="A337" s="4"/>
      <c r="B337" s="5" t="str">
        <f aca="false">IF(AND(TRIM(A337)&lt;&gt;"",ISNUMBER(FIND(" MT"," "&amp;A337)),LEFT(A337,5)&lt;&gt;"DESC="),MAX(B$2:B336)+1,"")</f>
        <v/>
      </c>
    </row>
    <row r="338" customFormat="false" ht="15" hidden="false" customHeight="false" outlineLevel="0" collapsed="false">
      <c r="A338" s="4"/>
      <c r="B338" s="5" t="str">
        <f aca="false">IF(AND(TRIM(A338)&lt;&gt;"",ISNUMBER(FIND(" MT"," "&amp;A338)),LEFT(A338,5)&lt;&gt;"DESC="),MAX(B$2:B337)+1,"")</f>
        <v/>
      </c>
    </row>
    <row r="339" customFormat="false" ht="15" hidden="false" customHeight="false" outlineLevel="0" collapsed="false">
      <c r="A339" s="4"/>
      <c r="B339" s="5" t="str">
        <f aca="false">IF(AND(TRIM(A339)&lt;&gt;"",ISNUMBER(FIND(" MT"," "&amp;A339)),LEFT(A339,5)&lt;&gt;"DESC="),MAX(B$2:B338)+1,"")</f>
        <v/>
      </c>
    </row>
    <row r="340" customFormat="false" ht="15" hidden="false" customHeight="false" outlineLevel="0" collapsed="false">
      <c r="A340" s="4"/>
      <c r="B340" s="5" t="str">
        <f aca="false">IF(AND(TRIM(A340)&lt;&gt;"",ISNUMBER(FIND(" MT"," "&amp;A340)),LEFT(A340,5)&lt;&gt;"DESC="),MAX(B$2:B339)+1,"")</f>
        <v/>
      </c>
    </row>
    <row r="341" customFormat="false" ht="15" hidden="false" customHeight="false" outlineLevel="0" collapsed="false">
      <c r="A341" s="4"/>
      <c r="B341" s="5" t="str">
        <f aca="false">IF(AND(TRIM(A341)&lt;&gt;"",ISNUMBER(FIND(" MT"," "&amp;A341)),LEFT(A341,5)&lt;&gt;"DESC="),MAX(B$2:B340)+1,"")</f>
        <v/>
      </c>
    </row>
    <row r="342" customFormat="false" ht="15" hidden="false" customHeight="false" outlineLevel="0" collapsed="false">
      <c r="A342" s="4"/>
      <c r="B342" s="5" t="str">
        <f aca="false">IF(AND(TRIM(A342)&lt;&gt;"",ISNUMBER(FIND(" MT"," "&amp;A342)),LEFT(A342,5)&lt;&gt;"DESC="),MAX(B$2:B341)+1,"")</f>
        <v/>
      </c>
    </row>
    <row r="343" customFormat="false" ht="15" hidden="false" customHeight="false" outlineLevel="0" collapsed="false">
      <c r="A343" s="4"/>
      <c r="B343" s="5" t="str">
        <f aca="false">IF(AND(TRIM(A343)&lt;&gt;"",ISNUMBER(FIND(" MT"," "&amp;A343)),LEFT(A343,5)&lt;&gt;"DESC="),MAX(B$2:B342)+1,"")</f>
        <v/>
      </c>
    </row>
    <row r="344" customFormat="false" ht="15" hidden="false" customHeight="false" outlineLevel="0" collapsed="false">
      <c r="A344" s="4"/>
      <c r="B344" s="5" t="str">
        <f aca="false">IF(AND(TRIM(A344)&lt;&gt;"",ISNUMBER(FIND(" MT"," "&amp;A344)),LEFT(A344,5)&lt;&gt;"DESC="),MAX(B$2:B343)+1,"")</f>
        <v/>
      </c>
    </row>
    <row r="345" customFormat="false" ht="15" hidden="false" customHeight="false" outlineLevel="0" collapsed="false">
      <c r="A345" s="4"/>
      <c r="B345" s="5" t="str">
        <f aca="false">IF(AND(TRIM(A345)&lt;&gt;"",ISNUMBER(FIND(" MT"," "&amp;A345)),LEFT(A345,5)&lt;&gt;"DESC="),MAX(B$2:B344)+1,"")</f>
        <v/>
      </c>
    </row>
    <row r="346" customFormat="false" ht="15" hidden="false" customHeight="false" outlineLevel="0" collapsed="false">
      <c r="A346" s="4"/>
      <c r="B346" s="5" t="str">
        <f aca="false">IF(AND(TRIM(A346)&lt;&gt;"",ISNUMBER(FIND(" MT"," "&amp;A346)),LEFT(A346,5)&lt;&gt;"DESC="),MAX(B$2:B345)+1,"")</f>
        <v/>
      </c>
    </row>
    <row r="347" customFormat="false" ht="15" hidden="false" customHeight="false" outlineLevel="0" collapsed="false">
      <c r="A347" s="4"/>
      <c r="B347" s="5" t="str">
        <f aca="false">IF(AND(TRIM(A347)&lt;&gt;"",ISNUMBER(FIND(" MT"," "&amp;A347)),LEFT(A347,5)&lt;&gt;"DESC="),MAX(B$2:B346)+1,"")</f>
        <v/>
      </c>
    </row>
    <row r="348" customFormat="false" ht="15" hidden="false" customHeight="false" outlineLevel="0" collapsed="false">
      <c r="A348" s="4"/>
      <c r="B348" s="5" t="str">
        <f aca="false">IF(AND(TRIM(A348)&lt;&gt;"",ISNUMBER(FIND(" MT"," "&amp;A348)),LEFT(A348,5)&lt;&gt;"DESC="),MAX(B$2:B347)+1,"")</f>
        <v/>
      </c>
    </row>
    <row r="349" customFormat="false" ht="15" hidden="false" customHeight="false" outlineLevel="0" collapsed="false">
      <c r="A349" s="4"/>
      <c r="B349" s="5" t="str">
        <f aca="false">IF(AND(TRIM(A349)&lt;&gt;"",ISNUMBER(FIND(" MT"," "&amp;A349)),LEFT(A349,5)&lt;&gt;"DESC="),MAX(B$2:B348)+1,"")</f>
        <v/>
      </c>
    </row>
    <row r="350" customFormat="false" ht="15" hidden="false" customHeight="false" outlineLevel="0" collapsed="false">
      <c r="A350" s="4"/>
      <c r="B350" s="5" t="str">
        <f aca="false">IF(AND(TRIM(A350)&lt;&gt;"",ISNUMBER(FIND(" MT"," "&amp;A350)),LEFT(A350,5)&lt;&gt;"DESC="),MAX(B$2:B349)+1,"")</f>
        <v/>
      </c>
    </row>
    <row r="351" customFormat="false" ht="15" hidden="false" customHeight="false" outlineLevel="0" collapsed="false">
      <c r="A351" s="4"/>
      <c r="B351" s="5" t="str">
        <f aca="false">IF(AND(TRIM(A351)&lt;&gt;"",ISNUMBER(FIND(" MT"," "&amp;A351)),LEFT(A351,5)&lt;&gt;"DESC="),MAX(B$2:B350)+1,"")</f>
        <v/>
      </c>
    </row>
    <row r="352" customFormat="false" ht="15" hidden="false" customHeight="false" outlineLevel="0" collapsed="false">
      <c r="A352" s="4"/>
      <c r="B352" s="5" t="str">
        <f aca="false">IF(AND(TRIM(A352)&lt;&gt;"",ISNUMBER(FIND(" MT"," "&amp;A352)),LEFT(A352,5)&lt;&gt;"DESC="),MAX(B$2:B351)+1,"")</f>
        <v/>
      </c>
    </row>
    <row r="353" customFormat="false" ht="15" hidden="false" customHeight="false" outlineLevel="0" collapsed="false">
      <c r="A353" s="4"/>
      <c r="B353" s="5" t="str">
        <f aca="false">IF(AND(TRIM(A353)&lt;&gt;"",ISNUMBER(FIND(" MT"," "&amp;A353)),LEFT(A353,5)&lt;&gt;"DESC="),MAX(B$2:B352)+1,"")</f>
        <v/>
      </c>
    </row>
    <row r="354" customFormat="false" ht="15" hidden="false" customHeight="false" outlineLevel="0" collapsed="false">
      <c r="A354" s="4"/>
      <c r="B354" s="5" t="str">
        <f aca="false">IF(AND(TRIM(A354)&lt;&gt;"",ISNUMBER(FIND(" MT"," "&amp;A354)),LEFT(A354,5)&lt;&gt;"DESC="),MAX(B$2:B353)+1,"")</f>
        <v/>
      </c>
    </row>
    <row r="355" customFormat="false" ht="15" hidden="false" customHeight="false" outlineLevel="0" collapsed="false">
      <c r="A355" s="4"/>
      <c r="B355" s="5" t="str">
        <f aca="false">IF(AND(TRIM(A355)&lt;&gt;"",ISNUMBER(FIND(" MT"," "&amp;A355)),LEFT(A355,5)&lt;&gt;"DESC="),MAX(B$2:B354)+1,"")</f>
        <v/>
      </c>
    </row>
    <row r="356" customFormat="false" ht="15" hidden="false" customHeight="false" outlineLevel="0" collapsed="false">
      <c r="A356" s="4"/>
      <c r="B356" s="5" t="str">
        <f aca="false">IF(AND(TRIM(A356)&lt;&gt;"",ISNUMBER(FIND(" MT"," "&amp;A356)),LEFT(A356,5)&lt;&gt;"DESC="),MAX(B$2:B355)+1,"")</f>
        <v/>
      </c>
    </row>
    <row r="357" customFormat="false" ht="15" hidden="false" customHeight="false" outlineLevel="0" collapsed="false">
      <c r="A357" s="4"/>
      <c r="B357" s="5" t="str">
        <f aca="false">IF(AND(TRIM(A357)&lt;&gt;"",ISNUMBER(FIND(" MT"," "&amp;A357)),LEFT(A357,5)&lt;&gt;"DESC="),MAX(B$2:B356)+1,"")</f>
        <v/>
      </c>
    </row>
    <row r="358" customFormat="false" ht="15" hidden="false" customHeight="false" outlineLevel="0" collapsed="false">
      <c r="A358" s="4"/>
      <c r="B358" s="5" t="str">
        <f aca="false">IF(AND(TRIM(A358)&lt;&gt;"",ISNUMBER(FIND(" MT"," "&amp;A358)),LEFT(A358,5)&lt;&gt;"DESC="),MAX(B$2:B357)+1,"")</f>
        <v/>
      </c>
    </row>
    <row r="359" customFormat="false" ht="15" hidden="false" customHeight="false" outlineLevel="0" collapsed="false">
      <c r="A359" s="4"/>
      <c r="B359" s="5" t="str">
        <f aca="false">IF(AND(TRIM(A359)&lt;&gt;"",ISNUMBER(FIND(" MT"," "&amp;A359)),LEFT(A359,5)&lt;&gt;"DESC="),MAX(B$2:B358)+1,"")</f>
        <v/>
      </c>
    </row>
    <row r="360" customFormat="false" ht="15" hidden="false" customHeight="false" outlineLevel="0" collapsed="false">
      <c r="A360" s="4"/>
      <c r="B360" s="5" t="str">
        <f aca="false">IF(AND(TRIM(A360)&lt;&gt;"",ISNUMBER(FIND(" MT"," "&amp;A360)),LEFT(A360,5)&lt;&gt;"DESC="),MAX(B$2:B359)+1,"")</f>
        <v/>
      </c>
    </row>
    <row r="361" customFormat="false" ht="15" hidden="false" customHeight="false" outlineLevel="0" collapsed="false">
      <c r="A361" s="4"/>
      <c r="B361" s="5" t="str">
        <f aca="false">IF(AND(TRIM(A361)&lt;&gt;"",ISNUMBER(FIND(" MT"," "&amp;A361)),LEFT(A361,5)&lt;&gt;"DESC="),MAX(B$2:B360)+1,"")</f>
        <v/>
      </c>
    </row>
    <row r="362" customFormat="false" ht="15" hidden="false" customHeight="false" outlineLevel="0" collapsed="false">
      <c r="A362" s="4"/>
      <c r="B362" s="5" t="str">
        <f aca="false">IF(AND(TRIM(A362)&lt;&gt;"",ISNUMBER(FIND(" MT"," "&amp;A362)),LEFT(A362,5)&lt;&gt;"DESC="),MAX(B$2:B361)+1,"")</f>
        <v/>
      </c>
    </row>
    <row r="363" customFormat="false" ht="15" hidden="false" customHeight="false" outlineLevel="0" collapsed="false">
      <c r="A363" s="4"/>
      <c r="B363" s="5" t="str">
        <f aca="false">IF(AND(TRIM(A363)&lt;&gt;"",ISNUMBER(FIND(" MT"," "&amp;A363)),LEFT(A363,5)&lt;&gt;"DESC="),MAX(B$2:B362)+1,"")</f>
        <v/>
      </c>
    </row>
    <row r="364" customFormat="false" ht="15" hidden="false" customHeight="false" outlineLevel="0" collapsed="false">
      <c r="A364" s="4"/>
      <c r="B364" s="5" t="str">
        <f aca="false">IF(AND(TRIM(A364)&lt;&gt;"",ISNUMBER(FIND(" MT"," "&amp;A364)),LEFT(A364,5)&lt;&gt;"DESC="),MAX(B$2:B363)+1,"")</f>
        <v/>
      </c>
    </row>
    <row r="365" customFormat="false" ht="15" hidden="false" customHeight="false" outlineLevel="0" collapsed="false">
      <c r="A365" s="4"/>
      <c r="B365" s="5" t="str">
        <f aca="false">IF(AND(TRIM(A365)&lt;&gt;"",ISNUMBER(FIND(" MT"," "&amp;A365)),LEFT(A365,5)&lt;&gt;"DESC="),MAX(B$2:B364)+1,"")</f>
        <v/>
      </c>
    </row>
    <row r="366" customFormat="false" ht="15" hidden="false" customHeight="false" outlineLevel="0" collapsed="false">
      <c r="A366" s="4"/>
      <c r="B366" s="5" t="str">
        <f aca="false">IF(AND(TRIM(A366)&lt;&gt;"",ISNUMBER(FIND(" MT"," "&amp;A366)),LEFT(A366,5)&lt;&gt;"DESC="),MAX(B$2:B365)+1,"")</f>
        <v/>
      </c>
    </row>
    <row r="367" customFormat="false" ht="15" hidden="false" customHeight="false" outlineLevel="0" collapsed="false">
      <c r="A367" s="4"/>
      <c r="B367" s="5" t="str">
        <f aca="false">IF(AND(TRIM(A367)&lt;&gt;"",ISNUMBER(FIND(" MT"," "&amp;A367)),LEFT(A367,5)&lt;&gt;"DESC="),MAX(B$2:B366)+1,"")</f>
        <v/>
      </c>
    </row>
    <row r="368" customFormat="false" ht="15" hidden="false" customHeight="false" outlineLevel="0" collapsed="false">
      <c r="A368" s="4"/>
      <c r="B368" s="5" t="str">
        <f aca="false">IF(AND(TRIM(A368)&lt;&gt;"",ISNUMBER(FIND(" MT"," "&amp;A368)),LEFT(A368,5)&lt;&gt;"DESC="),MAX(B$2:B367)+1,"")</f>
        <v/>
      </c>
    </row>
    <row r="369" customFormat="false" ht="15" hidden="false" customHeight="false" outlineLevel="0" collapsed="false">
      <c r="A369" s="4"/>
      <c r="B369" s="5" t="str">
        <f aca="false">IF(AND(TRIM(A369)&lt;&gt;"",ISNUMBER(FIND(" MT"," "&amp;A369)),LEFT(A369,5)&lt;&gt;"DESC="),MAX(B$2:B368)+1,"")</f>
        <v/>
      </c>
    </row>
    <row r="370" customFormat="false" ht="15" hidden="false" customHeight="false" outlineLevel="0" collapsed="false">
      <c r="A370" s="4"/>
      <c r="B370" s="5" t="str">
        <f aca="false">IF(AND(TRIM(A370)&lt;&gt;"",ISNUMBER(FIND(" MT"," "&amp;A370)),LEFT(A370,5)&lt;&gt;"DESC="),MAX(B$2:B369)+1,"")</f>
        <v/>
      </c>
    </row>
    <row r="371" customFormat="false" ht="15" hidden="false" customHeight="false" outlineLevel="0" collapsed="false">
      <c r="A371" s="4"/>
      <c r="B371" s="5" t="str">
        <f aca="false">IF(AND(TRIM(A371)&lt;&gt;"",ISNUMBER(FIND(" MT"," "&amp;A371)),LEFT(A371,5)&lt;&gt;"DESC="),MAX(B$2:B370)+1,"")</f>
        <v/>
      </c>
    </row>
    <row r="372" customFormat="false" ht="15" hidden="false" customHeight="false" outlineLevel="0" collapsed="false">
      <c r="A372" s="4"/>
      <c r="B372" s="5" t="str">
        <f aca="false">IF(AND(TRIM(A372)&lt;&gt;"",ISNUMBER(FIND(" MT"," "&amp;A372)),LEFT(A372,5)&lt;&gt;"DESC="),MAX(B$2:B371)+1,"")</f>
        <v/>
      </c>
    </row>
    <row r="373" customFormat="false" ht="15" hidden="false" customHeight="false" outlineLevel="0" collapsed="false">
      <c r="A373" s="4"/>
      <c r="B373" s="5" t="str">
        <f aca="false">IF(AND(TRIM(A373)&lt;&gt;"",ISNUMBER(FIND(" MT"," "&amp;A373)),LEFT(A373,5)&lt;&gt;"DESC="),MAX(B$2:B372)+1,"")</f>
        <v/>
      </c>
    </row>
    <row r="374" customFormat="false" ht="15" hidden="false" customHeight="false" outlineLevel="0" collapsed="false">
      <c r="A374" s="4"/>
      <c r="B374" s="5" t="str">
        <f aca="false">IF(AND(TRIM(A374)&lt;&gt;"",ISNUMBER(FIND(" MT"," "&amp;A374)),LEFT(A374,5)&lt;&gt;"DESC="),MAX(B$2:B373)+1,"")</f>
        <v/>
      </c>
    </row>
    <row r="375" customFormat="false" ht="15" hidden="false" customHeight="false" outlineLevel="0" collapsed="false">
      <c r="A375" s="4"/>
      <c r="B375" s="5" t="str">
        <f aca="false">IF(AND(TRIM(A375)&lt;&gt;"",ISNUMBER(FIND(" MT"," "&amp;A375)),LEFT(A375,5)&lt;&gt;"DESC="),MAX(B$2:B374)+1,"")</f>
        <v/>
      </c>
    </row>
    <row r="376" customFormat="false" ht="15" hidden="false" customHeight="false" outlineLevel="0" collapsed="false">
      <c r="A376" s="4"/>
      <c r="B376" s="5" t="str">
        <f aca="false">IF(AND(TRIM(A376)&lt;&gt;"",ISNUMBER(FIND(" MT"," "&amp;A376)),LEFT(A376,5)&lt;&gt;"DESC="),MAX(B$2:B375)+1,"")</f>
        <v/>
      </c>
    </row>
    <row r="377" customFormat="false" ht="15" hidden="false" customHeight="false" outlineLevel="0" collapsed="false">
      <c r="A377" s="4"/>
      <c r="B377" s="5" t="str">
        <f aca="false">IF(AND(TRIM(A377)&lt;&gt;"",ISNUMBER(FIND(" MT"," "&amp;A377)),LEFT(A377,5)&lt;&gt;"DESC="),MAX(B$2:B376)+1,"")</f>
        <v/>
      </c>
    </row>
    <row r="378" customFormat="false" ht="15" hidden="false" customHeight="false" outlineLevel="0" collapsed="false">
      <c r="A378" s="4"/>
      <c r="B378" s="5" t="str">
        <f aca="false">IF(AND(TRIM(A378)&lt;&gt;"",ISNUMBER(FIND(" MT"," "&amp;A378)),LEFT(A378,5)&lt;&gt;"DESC="),MAX(B$2:B377)+1,"")</f>
        <v/>
      </c>
    </row>
    <row r="379" customFormat="false" ht="15" hidden="false" customHeight="false" outlineLevel="0" collapsed="false">
      <c r="A379" s="4"/>
      <c r="B379" s="5" t="str">
        <f aca="false">IF(AND(TRIM(A379)&lt;&gt;"",ISNUMBER(FIND(" MT"," "&amp;A379)),LEFT(A379,5)&lt;&gt;"DESC="),MAX(B$2:B378)+1,"")</f>
        <v/>
      </c>
    </row>
    <row r="380" customFormat="false" ht="15" hidden="false" customHeight="false" outlineLevel="0" collapsed="false">
      <c r="A380" s="4"/>
      <c r="B380" s="5" t="str">
        <f aca="false">IF(AND(TRIM(A380)&lt;&gt;"",ISNUMBER(FIND(" MT"," "&amp;A380)),LEFT(A380,5)&lt;&gt;"DESC="),MAX(B$2:B379)+1,"")</f>
        <v/>
      </c>
    </row>
    <row r="381" customFormat="false" ht="15" hidden="false" customHeight="false" outlineLevel="0" collapsed="false">
      <c r="A381" s="4"/>
      <c r="B381" s="5" t="str">
        <f aca="false">IF(AND(TRIM(A381)&lt;&gt;"",ISNUMBER(FIND(" MT"," "&amp;A381)),LEFT(A381,5)&lt;&gt;"DESC="),MAX(B$2:B380)+1,"")</f>
        <v/>
      </c>
    </row>
    <row r="382" customFormat="false" ht="15" hidden="false" customHeight="false" outlineLevel="0" collapsed="false">
      <c r="A382" s="4"/>
      <c r="B382" s="5" t="str">
        <f aca="false">IF(AND(TRIM(A382)&lt;&gt;"",ISNUMBER(FIND(" MT"," "&amp;A382)),LEFT(A382,5)&lt;&gt;"DESC="),MAX(B$2:B381)+1,"")</f>
        <v/>
      </c>
    </row>
    <row r="383" customFormat="false" ht="15" hidden="false" customHeight="false" outlineLevel="0" collapsed="false">
      <c r="A383" s="4"/>
      <c r="B383" s="5" t="str">
        <f aca="false">IF(AND(TRIM(A383)&lt;&gt;"",ISNUMBER(FIND(" MT"," "&amp;A383)),LEFT(A383,5)&lt;&gt;"DESC="),MAX(B$2:B382)+1,"")</f>
        <v/>
      </c>
    </row>
    <row r="384" customFormat="false" ht="15" hidden="false" customHeight="false" outlineLevel="0" collapsed="false">
      <c r="A384" s="4"/>
      <c r="B384" s="5" t="str">
        <f aca="false">IF(AND(TRIM(A384)&lt;&gt;"",ISNUMBER(FIND(" MT"," "&amp;A384)),LEFT(A384,5)&lt;&gt;"DESC="),MAX(B$2:B383)+1,"")</f>
        <v/>
      </c>
    </row>
    <row r="385" customFormat="false" ht="15" hidden="false" customHeight="false" outlineLevel="0" collapsed="false">
      <c r="A385" s="4"/>
      <c r="B385" s="5" t="str">
        <f aca="false">IF(AND(TRIM(A385)&lt;&gt;"",ISNUMBER(FIND(" MT"," "&amp;A385)),LEFT(A385,5)&lt;&gt;"DESC="),MAX(B$2:B384)+1,"")</f>
        <v/>
      </c>
    </row>
    <row r="386" customFormat="false" ht="15" hidden="false" customHeight="false" outlineLevel="0" collapsed="false">
      <c r="A386" s="4"/>
      <c r="B386" s="5" t="str">
        <f aca="false">IF(AND(TRIM(A386)&lt;&gt;"",ISNUMBER(FIND(" MT"," "&amp;A386)),LEFT(A386,5)&lt;&gt;"DESC="),MAX(B$2:B385)+1,"")</f>
        <v/>
      </c>
    </row>
    <row r="387" customFormat="false" ht="15" hidden="false" customHeight="false" outlineLevel="0" collapsed="false">
      <c r="A387" s="4"/>
      <c r="B387" s="5" t="str">
        <f aca="false">IF(AND(TRIM(A387)&lt;&gt;"",ISNUMBER(FIND(" MT"," "&amp;A387)),LEFT(A387,5)&lt;&gt;"DESC="),MAX(B$2:B386)+1,"")</f>
        <v/>
      </c>
    </row>
    <row r="388" customFormat="false" ht="15" hidden="false" customHeight="false" outlineLevel="0" collapsed="false">
      <c r="A388" s="4"/>
      <c r="B388" s="5" t="str">
        <f aca="false">IF(AND(TRIM(A388)&lt;&gt;"",ISNUMBER(FIND(" MT"," "&amp;A388)),LEFT(A388,5)&lt;&gt;"DESC="),MAX(B$2:B387)+1,"")</f>
        <v/>
      </c>
    </row>
    <row r="389" customFormat="false" ht="15" hidden="false" customHeight="false" outlineLevel="0" collapsed="false">
      <c r="A389" s="4"/>
      <c r="B389" s="5" t="str">
        <f aca="false">IF(AND(TRIM(A389)&lt;&gt;"",ISNUMBER(FIND(" MT"," "&amp;A389)),LEFT(A389,5)&lt;&gt;"DESC="),MAX(B$2:B388)+1,"")</f>
        <v/>
      </c>
    </row>
    <row r="390" customFormat="false" ht="15" hidden="false" customHeight="false" outlineLevel="0" collapsed="false">
      <c r="A390" s="4"/>
      <c r="B390" s="5" t="str">
        <f aca="false">IF(AND(TRIM(A390)&lt;&gt;"",ISNUMBER(FIND(" MT"," "&amp;A390)),LEFT(A390,5)&lt;&gt;"DESC="),MAX(B$2:B389)+1,"")</f>
        <v/>
      </c>
    </row>
    <row r="391" customFormat="false" ht="15" hidden="false" customHeight="false" outlineLevel="0" collapsed="false">
      <c r="A391" s="4"/>
      <c r="B391" s="5" t="str">
        <f aca="false">IF(AND(TRIM(A391)&lt;&gt;"",ISNUMBER(FIND(" MT"," "&amp;A391)),LEFT(A391,5)&lt;&gt;"DESC="),MAX(B$2:B390)+1,"")</f>
        <v/>
      </c>
    </row>
    <row r="392" customFormat="false" ht="15" hidden="false" customHeight="false" outlineLevel="0" collapsed="false">
      <c r="A392" s="4"/>
      <c r="B392" s="5" t="str">
        <f aca="false">IF(AND(TRIM(A392)&lt;&gt;"",ISNUMBER(FIND(" MT"," "&amp;A392)),LEFT(A392,5)&lt;&gt;"DESC="),MAX(B$2:B391)+1,"")</f>
        <v/>
      </c>
    </row>
    <row r="393" customFormat="false" ht="15" hidden="false" customHeight="false" outlineLevel="0" collapsed="false">
      <c r="A393" s="4"/>
      <c r="B393" s="5" t="str">
        <f aca="false">IF(AND(TRIM(A393)&lt;&gt;"",ISNUMBER(FIND(" MT"," "&amp;A393)),LEFT(A393,5)&lt;&gt;"DESC="),MAX(B$2:B392)+1,"")</f>
        <v/>
      </c>
    </row>
    <row r="394" customFormat="false" ht="15" hidden="false" customHeight="false" outlineLevel="0" collapsed="false">
      <c r="A394" s="4"/>
      <c r="B394" s="5" t="str">
        <f aca="false">IF(AND(TRIM(A394)&lt;&gt;"",ISNUMBER(FIND(" MT"," "&amp;A394)),LEFT(A394,5)&lt;&gt;"DESC="),MAX(B$2:B393)+1,"")</f>
        <v/>
      </c>
    </row>
    <row r="395" customFormat="false" ht="15" hidden="false" customHeight="false" outlineLevel="0" collapsed="false">
      <c r="A395" s="4"/>
      <c r="B395" s="5" t="str">
        <f aca="false">IF(AND(TRIM(A395)&lt;&gt;"",ISNUMBER(FIND(" MT"," "&amp;A395)),LEFT(A395,5)&lt;&gt;"DESC="),MAX(B$2:B394)+1,"")</f>
        <v/>
      </c>
    </row>
    <row r="396" customFormat="false" ht="15" hidden="false" customHeight="false" outlineLevel="0" collapsed="false">
      <c r="A396" s="4"/>
      <c r="B396" s="5" t="str">
        <f aca="false">IF(AND(TRIM(A396)&lt;&gt;"",ISNUMBER(FIND(" MT"," "&amp;A396)),LEFT(A396,5)&lt;&gt;"DESC="),MAX(B$2:B395)+1,"")</f>
        <v/>
      </c>
    </row>
    <row r="397" customFormat="false" ht="15" hidden="false" customHeight="false" outlineLevel="0" collapsed="false">
      <c r="A397" s="4"/>
      <c r="B397" s="5" t="str">
        <f aca="false">IF(AND(TRIM(A397)&lt;&gt;"",ISNUMBER(FIND(" MT"," "&amp;A397)),LEFT(A397,5)&lt;&gt;"DESC="),MAX(B$2:B396)+1,"")</f>
        <v/>
      </c>
    </row>
    <row r="398" customFormat="false" ht="15" hidden="false" customHeight="false" outlineLevel="0" collapsed="false">
      <c r="A398" s="4"/>
      <c r="B398" s="5" t="str">
        <f aca="false">IF(AND(TRIM(A398)&lt;&gt;"",ISNUMBER(FIND(" MT"," "&amp;A398)),LEFT(A398,5)&lt;&gt;"DESC="),MAX(B$2:B397)+1,"")</f>
        <v/>
      </c>
    </row>
    <row r="399" customFormat="false" ht="15" hidden="false" customHeight="false" outlineLevel="0" collapsed="false">
      <c r="A399" s="4"/>
      <c r="B399" s="5" t="str">
        <f aca="false">IF(AND(TRIM(A399)&lt;&gt;"",ISNUMBER(FIND(" MT"," "&amp;A399)),LEFT(A399,5)&lt;&gt;"DESC="),MAX(B$2:B398)+1,"")</f>
        <v/>
      </c>
    </row>
    <row r="400" customFormat="false" ht="15" hidden="false" customHeight="false" outlineLevel="0" collapsed="false">
      <c r="A400" s="4"/>
      <c r="B400" s="5" t="str">
        <f aca="false">IF(AND(TRIM(A400)&lt;&gt;"",ISNUMBER(FIND(" MT"," "&amp;A400)),LEFT(A400,5)&lt;&gt;"DESC="),MAX(B$2:B399)+1,"")</f>
        <v/>
      </c>
    </row>
    <row r="401" customFormat="false" ht="15" hidden="false" customHeight="false" outlineLevel="0" collapsed="false">
      <c r="A401" s="4"/>
      <c r="B401" s="5" t="str">
        <f aca="false">IF(AND(TRIM(A401)&lt;&gt;"",ISNUMBER(FIND(" MT"," "&amp;A401)),LEFT(A401,5)&lt;&gt;"DESC="),MAX(B$2:B400)+1,"")</f>
        <v/>
      </c>
    </row>
    <row r="402" customFormat="false" ht="15" hidden="false" customHeight="false" outlineLevel="0" collapsed="false">
      <c r="A402" s="4"/>
      <c r="B402" s="5" t="str">
        <f aca="false">IF(AND(TRIM(A402)&lt;&gt;"",ISNUMBER(FIND(" MT"," "&amp;A402)),LEFT(A402,5)&lt;&gt;"DESC="),MAX(B$2:B401)+1,"")</f>
        <v/>
      </c>
    </row>
    <row r="403" customFormat="false" ht="15" hidden="false" customHeight="false" outlineLevel="0" collapsed="false">
      <c r="A403" s="4"/>
      <c r="B403" s="5" t="str">
        <f aca="false">IF(AND(TRIM(A403)&lt;&gt;"",ISNUMBER(FIND(" MT"," "&amp;A403)),LEFT(A403,5)&lt;&gt;"DESC="),MAX(B$2:B402)+1,"")</f>
        <v/>
      </c>
    </row>
    <row r="404" customFormat="false" ht="15" hidden="false" customHeight="false" outlineLevel="0" collapsed="false">
      <c r="A404" s="4"/>
      <c r="B404" s="5" t="str">
        <f aca="false">IF(AND(TRIM(A404)&lt;&gt;"",ISNUMBER(FIND(" MT"," "&amp;A404)),LEFT(A404,5)&lt;&gt;"DESC="),MAX(B$2:B403)+1,"")</f>
        <v/>
      </c>
    </row>
    <row r="405" customFormat="false" ht="15" hidden="false" customHeight="false" outlineLevel="0" collapsed="false">
      <c r="A405" s="4"/>
      <c r="B405" s="5" t="str">
        <f aca="false">IF(AND(TRIM(A405)&lt;&gt;"",ISNUMBER(FIND(" MT"," "&amp;A405)),LEFT(A405,5)&lt;&gt;"DESC="),MAX(B$2:B404)+1,"")</f>
        <v/>
      </c>
    </row>
    <row r="406" customFormat="false" ht="15" hidden="false" customHeight="false" outlineLevel="0" collapsed="false">
      <c r="A406" s="4"/>
      <c r="B406" s="5" t="str">
        <f aca="false">IF(AND(TRIM(A406)&lt;&gt;"",ISNUMBER(FIND(" MT"," "&amp;A406)),LEFT(A406,5)&lt;&gt;"DESC="),MAX(B$2:B405)+1,"")</f>
        <v/>
      </c>
    </row>
    <row r="407" customFormat="false" ht="15" hidden="false" customHeight="false" outlineLevel="0" collapsed="false">
      <c r="A407" s="4"/>
      <c r="B407" s="5" t="str">
        <f aca="false">IF(AND(TRIM(A407)&lt;&gt;"",ISNUMBER(FIND(" MT"," "&amp;A407)),LEFT(A407,5)&lt;&gt;"DESC="),MAX(B$2:B406)+1,"")</f>
        <v/>
      </c>
    </row>
    <row r="408" customFormat="false" ht="15" hidden="false" customHeight="false" outlineLevel="0" collapsed="false">
      <c r="A408" s="4"/>
      <c r="B408" s="5" t="str">
        <f aca="false">IF(AND(TRIM(A408)&lt;&gt;"",ISNUMBER(FIND(" MT"," "&amp;A408)),LEFT(A408,5)&lt;&gt;"DESC="),MAX(B$2:B407)+1,"")</f>
        <v/>
      </c>
    </row>
    <row r="409" customFormat="false" ht="15" hidden="false" customHeight="false" outlineLevel="0" collapsed="false">
      <c r="A409" s="4"/>
      <c r="B409" s="5" t="str">
        <f aca="false">IF(AND(TRIM(A409)&lt;&gt;"",ISNUMBER(FIND(" MT"," "&amp;A409)),LEFT(A409,5)&lt;&gt;"DESC="),MAX(B$2:B408)+1,"")</f>
        <v/>
      </c>
    </row>
    <row r="410" customFormat="false" ht="15" hidden="false" customHeight="false" outlineLevel="0" collapsed="false">
      <c r="A410" s="4"/>
      <c r="B410" s="5" t="str">
        <f aca="false">IF(AND(TRIM(A410)&lt;&gt;"",ISNUMBER(FIND(" MT"," "&amp;A410)),LEFT(A410,5)&lt;&gt;"DESC="),MAX(B$2:B409)+1,"")</f>
        <v/>
      </c>
    </row>
    <row r="411" customFormat="false" ht="15" hidden="false" customHeight="false" outlineLevel="0" collapsed="false">
      <c r="A411" s="4"/>
      <c r="B411" s="5" t="str">
        <f aca="false">IF(AND(TRIM(A411)&lt;&gt;"",ISNUMBER(FIND(" MT"," "&amp;A411)),LEFT(A411,5)&lt;&gt;"DESC="),MAX(B$2:B410)+1,"")</f>
        <v/>
      </c>
    </row>
    <row r="412" customFormat="false" ht="15" hidden="false" customHeight="false" outlineLevel="0" collapsed="false">
      <c r="A412" s="4"/>
      <c r="B412" s="5" t="str">
        <f aca="false">IF(AND(TRIM(A412)&lt;&gt;"",ISNUMBER(FIND(" MT"," "&amp;A412)),LEFT(A412,5)&lt;&gt;"DESC="),MAX(B$2:B411)+1,"")</f>
        <v/>
      </c>
    </row>
    <row r="413" customFormat="false" ht="15" hidden="false" customHeight="false" outlineLevel="0" collapsed="false">
      <c r="A413" s="4"/>
      <c r="B413" s="5" t="str">
        <f aca="false">IF(AND(TRIM(A413)&lt;&gt;"",ISNUMBER(FIND(" MT"," "&amp;A413)),LEFT(A413,5)&lt;&gt;"DESC="),MAX(B$2:B412)+1,"")</f>
        <v/>
      </c>
    </row>
    <row r="414" customFormat="false" ht="15" hidden="false" customHeight="false" outlineLevel="0" collapsed="false">
      <c r="A414" s="4"/>
      <c r="B414" s="5" t="str">
        <f aca="false">IF(AND(TRIM(A414)&lt;&gt;"",ISNUMBER(FIND(" MT"," "&amp;A414)),LEFT(A414,5)&lt;&gt;"DESC="),MAX(B$2:B413)+1,"")</f>
        <v/>
      </c>
    </row>
    <row r="415" customFormat="false" ht="15" hidden="false" customHeight="false" outlineLevel="0" collapsed="false">
      <c r="A415" s="4"/>
      <c r="B415" s="5" t="str">
        <f aca="false">IF(AND(TRIM(A415)&lt;&gt;"",ISNUMBER(FIND(" MT"," "&amp;A415)),LEFT(A415,5)&lt;&gt;"DESC="),MAX(B$2:B414)+1,"")</f>
        <v/>
      </c>
    </row>
    <row r="416" customFormat="false" ht="15" hidden="false" customHeight="false" outlineLevel="0" collapsed="false">
      <c r="A416" s="4"/>
      <c r="B416" s="5" t="str">
        <f aca="false">IF(AND(TRIM(A416)&lt;&gt;"",ISNUMBER(FIND(" MT"," "&amp;A416)),LEFT(A416,5)&lt;&gt;"DESC="),MAX(B$2:B415)+1,"")</f>
        <v/>
      </c>
    </row>
    <row r="417" customFormat="false" ht="15" hidden="false" customHeight="false" outlineLevel="0" collapsed="false">
      <c r="A417" s="4"/>
      <c r="B417" s="5" t="str">
        <f aca="false">IF(AND(TRIM(A417)&lt;&gt;"",ISNUMBER(FIND(" MT"," "&amp;A417)),LEFT(A417,5)&lt;&gt;"DESC="),MAX(B$2:B416)+1,"")</f>
        <v/>
      </c>
    </row>
    <row r="418" customFormat="false" ht="15" hidden="false" customHeight="false" outlineLevel="0" collapsed="false">
      <c r="A418" s="4"/>
      <c r="B418" s="5" t="str">
        <f aca="false">IF(AND(TRIM(A418)&lt;&gt;"",ISNUMBER(FIND(" MT"," "&amp;A418)),LEFT(A418,5)&lt;&gt;"DESC="),MAX(B$2:B417)+1,"")</f>
        <v/>
      </c>
    </row>
    <row r="419" customFormat="false" ht="15" hidden="false" customHeight="false" outlineLevel="0" collapsed="false">
      <c r="A419" s="4"/>
      <c r="B419" s="5" t="str">
        <f aca="false">IF(AND(TRIM(A419)&lt;&gt;"",ISNUMBER(FIND(" MT"," "&amp;A419)),LEFT(A419,5)&lt;&gt;"DESC="),MAX(B$2:B418)+1,"")</f>
        <v/>
      </c>
    </row>
    <row r="420" customFormat="false" ht="15" hidden="false" customHeight="false" outlineLevel="0" collapsed="false">
      <c r="A420" s="4"/>
      <c r="B420" s="5" t="str">
        <f aca="false">IF(AND(TRIM(A420)&lt;&gt;"",ISNUMBER(FIND(" MT"," "&amp;A420)),LEFT(A420,5)&lt;&gt;"DESC="),MAX(B$2:B419)+1,"")</f>
        <v/>
      </c>
    </row>
    <row r="421" customFormat="false" ht="15" hidden="false" customHeight="false" outlineLevel="0" collapsed="false">
      <c r="A421" s="4"/>
      <c r="B421" s="5" t="str">
        <f aca="false">IF(AND(TRIM(A421)&lt;&gt;"",ISNUMBER(FIND(" MT"," "&amp;A421)),LEFT(A421,5)&lt;&gt;"DESC="),MAX(B$2:B420)+1,"")</f>
        <v/>
      </c>
    </row>
    <row r="422" customFormat="false" ht="15" hidden="false" customHeight="false" outlineLevel="0" collapsed="false">
      <c r="A422" s="4"/>
      <c r="B422" s="5" t="str">
        <f aca="false">IF(AND(TRIM(A422)&lt;&gt;"",ISNUMBER(FIND(" MT"," "&amp;A422)),LEFT(A422,5)&lt;&gt;"DESC="),MAX(B$2:B421)+1,"")</f>
        <v/>
      </c>
    </row>
    <row r="423" customFormat="false" ht="15" hidden="false" customHeight="false" outlineLevel="0" collapsed="false">
      <c r="A423" s="4"/>
      <c r="B423" s="5" t="str">
        <f aca="false">IF(AND(TRIM(A423)&lt;&gt;"",ISNUMBER(FIND(" MT"," "&amp;A423)),LEFT(A423,5)&lt;&gt;"DESC="),MAX(B$2:B422)+1,"")</f>
        <v/>
      </c>
    </row>
    <row r="424" customFormat="false" ht="15" hidden="false" customHeight="false" outlineLevel="0" collapsed="false">
      <c r="A424" s="4"/>
      <c r="B424" s="5" t="str">
        <f aca="false">IF(AND(TRIM(A424)&lt;&gt;"",ISNUMBER(FIND(" MT"," "&amp;A424)),LEFT(A424,5)&lt;&gt;"DESC="),MAX(B$2:B423)+1,"")</f>
        <v/>
      </c>
    </row>
    <row r="425" customFormat="false" ht="15" hidden="false" customHeight="false" outlineLevel="0" collapsed="false">
      <c r="A425" s="4"/>
      <c r="B425" s="5" t="str">
        <f aca="false">IF(AND(TRIM(A425)&lt;&gt;"",ISNUMBER(FIND(" MT"," "&amp;A425)),LEFT(A425,5)&lt;&gt;"DESC="),MAX(B$2:B424)+1,"")</f>
        <v/>
      </c>
    </row>
    <row r="426" customFormat="false" ht="15" hidden="false" customHeight="false" outlineLevel="0" collapsed="false">
      <c r="A426" s="4"/>
      <c r="B426" s="5" t="str">
        <f aca="false">IF(AND(TRIM(A426)&lt;&gt;"",ISNUMBER(FIND(" MT"," "&amp;A426)),LEFT(A426,5)&lt;&gt;"DESC="),MAX(B$2:B425)+1,"")</f>
        <v/>
      </c>
    </row>
    <row r="427" customFormat="false" ht="15" hidden="false" customHeight="false" outlineLevel="0" collapsed="false">
      <c r="A427" s="4"/>
      <c r="B427" s="5" t="str">
        <f aca="false">IF(AND(TRIM(A427)&lt;&gt;"",ISNUMBER(FIND(" MT"," "&amp;A427)),LEFT(A427,5)&lt;&gt;"DESC="),MAX(B$2:B426)+1,"")</f>
        <v/>
      </c>
    </row>
    <row r="428" customFormat="false" ht="15" hidden="false" customHeight="false" outlineLevel="0" collapsed="false">
      <c r="A428" s="4"/>
      <c r="B428" s="5" t="str">
        <f aca="false">IF(AND(TRIM(A428)&lt;&gt;"",ISNUMBER(FIND(" MT"," "&amp;A428)),LEFT(A428,5)&lt;&gt;"DESC="),MAX(B$2:B427)+1,"")</f>
        <v/>
      </c>
    </row>
    <row r="429" customFormat="false" ht="15" hidden="false" customHeight="false" outlineLevel="0" collapsed="false">
      <c r="A429" s="4"/>
      <c r="B429" s="5" t="str">
        <f aca="false">IF(AND(TRIM(A429)&lt;&gt;"",ISNUMBER(FIND(" MT"," "&amp;A429)),LEFT(A429,5)&lt;&gt;"DESC="),MAX(B$2:B428)+1,"")</f>
        <v/>
      </c>
    </row>
    <row r="430" customFormat="false" ht="15" hidden="false" customHeight="false" outlineLevel="0" collapsed="false">
      <c r="A430" s="4"/>
      <c r="B430" s="5" t="str">
        <f aca="false">IF(AND(TRIM(A430)&lt;&gt;"",ISNUMBER(FIND(" MT"," "&amp;A430)),LEFT(A430,5)&lt;&gt;"DESC="),MAX(B$2:B429)+1,"")</f>
        <v/>
      </c>
    </row>
    <row r="431" customFormat="false" ht="15" hidden="false" customHeight="false" outlineLevel="0" collapsed="false">
      <c r="A431" s="4"/>
      <c r="B431" s="5" t="str">
        <f aca="false">IF(AND(TRIM(A431)&lt;&gt;"",ISNUMBER(FIND(" MT"," "&amp;A431)),LEFT(A431,5)&lt;&gt;"DESC="),MAX(B$2:B430)+1,"")</f>
        <v/>
      </c>
    </row>
    <row r="432" customFormat="false" ht="15" hidden="false" customHeight="false" outlineLevel="0" collapsed="false">
      <c r="A432" s="4"/>
      <c r="B432" s="5" t="str">
        <f aca="false">IF(AND(TRIM(A432)&lt;&gt;"",ISNUMBER(FIND(" MT"," "&amp;A432)),LEFT(A432,5)&lt;&gt;"DESC="),MAX(B$2:B431)+1,"")</f>
        <v/>
      </c>
    </row>
    <row r="433" customFormat="false" ht="15" hidden="false" customHeight="false" outlineLevel="0" collapsed="false">
      <c r="A433" s="4"/>
      <c r="B433" s="5" t="str">
        <f aca="false">IF(AND(TRIM(A433)&lt;&gt;"",ISNUMBER(FIND(" MT"," "&amp;A433)),LEFT(A433,5)&lt;&gt;"DESC="),MAX(B$2:B432)+1,"")</f>
        <v/>
      </c>
    </row>
    <row r="434" customFormat="false" ht="15" hidden="false" customHeight="false" outlineLevel="0" collapsed="false">
      <c r="A434" s="4"/>
      <c r="B434" s="5" t="str">
        <f aca="false">IF(AND(TRIM(A434)&lt;&gt;"",ISNUMBER(FIND(" MT"," "&amp;A434)),LEFT(A434,5)&lt;&gt;"DESC="),MAX(B$2:B433)+1,"")</f>
        <v/>
      </c>
    </row>
    <row r="435" customFormat="false" ht="15" hidden="false" customHeight="false" outlineLevel="0" collapsed="false">
      <c r="A435" s="4"/>
      <c r="B435" s="5" t="str">
        <f aca="false">IF(AND(TRIM(A435)&lt;&gt;"",ISNUMBER(FIND(" MT"," "&amp;A435)),LEFT(A435,5)&lt;&gt;"DESC="),MAX(B$2:B434)+1,"")</f>
        <v/>
      </c>
    </row>
    <row r="436" customFormat="false" ht="15" hidden="false" customHeight="false" outlineLevel="0" collapsed="false">
      <c r="A436" s="4"/>
      <c r="B436" s="5" t="str">
        <f aca="false">IF(AND(TRIM(A436)&lt;&gt;"",ISNUMBER(FIND(" MT"," "&amp;A436)),LEFT(A436,5)&lt;&gt;"DESC="),MAX(B$2:B435)+1,"")</f>
        <v/>
      </c>
    </row>
    <row r="437" customFormat="false" ht="15" hidden="false" customHeight="false" outlineLevel="0" collapsed="false">
      <c r="A437" s="4"/>
      <c r="B437" s="5" t="str">
        <f aca="false">IF(AND(TRIM(A437)&lt;&gt;"",ISNUMBER(FIND(" MT"," "&amp;A437)),LEFT(A437,5)&lt;&gt;"DESC="),MAX(B$2:B436)+1,"")</f>
        <v/>
      </c>
    </row>
    <row r="438" customFormat="false" ht="15" hidden="false" customHeight="false" outlineLevel="0" collapsed="false">
      <c r="A438" s="4"/>
      <c r="B438" s="5" t="str">
        <f aca="false">IF(AND(TRIM(A438)&lt;&gt;"",ISNUMBER(FIND(" MT"," "&amp;A438)),LEFT(A438,5)&lt;&gt;"DESC="),MAX(B$2:B437)+1,"")</f>
        <v/>
      </c>
    </row>
    <row r="439" customFormat="false" ht="15" hidden="false" customHeight="false" outlineLevel="0" collapsed="false">
      <c r="A439" s="4"/>
      <c r="B439" s="5" t="str">
        <f aca="false">IF(AND(TRIM(A439)&lt;&gt;"",ISNUMBER(FIND(" MT"," "&amp;A439)),LEFT(A439,5)&lt;&gt;"DESC="),MAX(B$2:B438)+1,"")</f>
        <v/>
      </c>
    </row>
    <row r="440" customFormat="false" ht="15" hidden="false" customHeight="false" outlineLevel="0" collapsed="false">
      <c r="A440" s="4"/>
      <c r="B440" s="5" t="str">
        <f aca="false">IF(AND(TRIM(A440)&lt;&gt;"",ISNUMBER(FIND(" MT"," "&amp;A440)),LEFT(A440,5)&lt;&gt;"DESC="),MAX(B$2:B439)+1,"")</f>
        <v/>
      </c>
    </row>
    <row r="441" customFormat="false" ht="15" hidden="false" customHeight="false" outlineLevel="0" collapsed="false">
      <c r="A441" s="4"/>
      <c r="B441" s="5" t="str">
        <f aca="false">IF(AND(TRIM(A441)&lt;&gt;"",ISNUMBER(FIND(" MT"," "&amp;A441)),LEFT(A441,5)&lt;&gt;"DESC="),MAX(B$2:B440)+1,"")</f>
        <v/>
      </c>
    </row>
    <row r="442" customFormat="false" ht="15" hidden="false" customHeight="false" outlineLevel="0" collapsed="false">
      <c r="A442" s="4"/>
      <c r="B442" s="5" t="str">
        <f aca="false">IF(AND(TRIM(A442)&lt;&gt;"",ISNUMBER(FIND(" MT"," "&amp;A442)),LEFT(A442,5)&lt;&gt;"DESC="),MAX(B$2:B441)+1,"")</f>
        <v/>
      </c>
    </row>
    <row r="443" customFormat="false" ht="15" hidden="false" customHeight="false" outlineLevel="0" collapsed="false">
      <c r="A443" s="4"/>
      <c r="B443" s="5" t="str">
        <f aca="false">IF(AND(TRIM(A443)&lt;&gt;"",ISNUMBER(FIND(" MT"," "&amp;A443)),LEFT(A443,5)&lt;&gt;"DESC="),MAX(B$2:B442)+1,"")</f>
        <v/>
      </c>
    </row>
    <row r="444" customFormat="false" ht="15" hidden="false" customHeight="false" outlineLevel="0" collapsed="false">
      <c r="A444" s="4"/>
      <c r="B444" s="5" t="str">
        <f aca="false">IF(AND(TRIM(A444)&lt;&gt;"",ISNUMBER(FIND(" MT"," "&amp;A444)),LEFT(A444,5)&lt;&gt;"DESC="),MAX(B$2:B443)+1,"")</f>
        <v/>
      </c>
    </row>
    <row r="445" customFormat="false" ht="15" hidden="false" customHeight="false" outlineLevel="0" collapsed="false">
      <c r="A445" s="4"/>
      <c r="B445" s="5" t="str">
        <f aca="false">IF(AND(TRIM(A445)&lt;&gt;"",ISNUMBER(FIND(" MT"," "&amp;A445)),LEFT(A445,5)&lt;&gt;"DESC="),MAX(B$2:B444)+1,"")</f>
        <v/>
      </c>
    </row>
    <row r="446" customFormat="false" ht="15" hidden="false" customHeight="false" outlineLevel="0" collapsed="false">
      <c r="A446" s="4"/>
      <c r="B446" s="5" t="str">
        <f aca="false">IF(AND(TRIM(A446)&lt;&gt;"",ISNUMBER(FIND(" MT"," "&amp;A446)),LEFT(A446,5)&lt;&gt;"DESC="),MAX(B$2:B445)+1,"")</f>
        <v/>
      </c>
    </row>
    <row r="447" customFormat="false" ht="15" hidden="false" customHeight="false" outlineLevel="0" collapsed="false">
      <c r="A447" s="4"/>
      <c r="B447" s="5" t="str">
        <f aca="false">IF(AND(TRIM(A447)&lt;&gt;"",ISNUMBER(FIND(" MT"," "&amp;A447)),LEFT(A447,5)&lt;&gt;"DESC="),MAX(B$2:B446)+1,"")</f>
        <v/>
      </c>
    </row>
    <row r="448" customFormat="false" ht="15" hidden="false" customHeight="false" outlineLevel="0" collapsed="false">
      <c r="A448" s="4"/>
      <c r="B448" s="5" t="str">
        <f aca="false">IF(AND(TRIM(A448)&lt;&gt;"",ISNUMBER(FIND(" MT"," "&amp;A448)),LEFT(A448,5)&lt;&gt;"DESC="),MAX(B$2:B447)+1,"")</f>
        <v/>
      </c>
    </row>
    <row r="449" customFormat="false" ht="15" hidden="false" customHeight="false" outlineLevel="0" collapsed="false">
      <c r="A449" s="4"/>
      <c r="B449" s="5" t="str">
        <f aca="false">IF(AND(TRIM(A449)&lt;&gt;"",ISNUMBER(FIND(" MT"," "&amp;A449)),LEFT(A449,5)&lt;&gt;"DESC="),MAX(B$2:B448)+1,"")</f>
        <v/>
      </c>
    </row>
    <row r="450" customFormat="false" ht="15" hidden="false" customHeight="false" outlineLevel="0" collapsed="false">
      <c r="A450" s="4"/>
      <c r="B450" s="5" t="str">
        <f aca="false">IF(AND(TRIM(A450)&lt;&gt;"",ISNUMBER(FIND(" MT"," "&amp;A450)),LEFT(A450,5)&lt;&gt;"DESC="),MAX(B$2:B449)+1,"")</f>
        <v/>
      </c>
    </row>
    <row r="451" customFormat="false" ht="15" hidden="false" customHeight="false" outlineLevel="0" collapsed="false">
      <c r="A451" s="4"/>
      <c r="B451" s="5" t="str">
        <f aca="false">IF(AND(TRIM(A451)&lt;&gt;"",ISNUMBER(FIND(" MT"," "&amp;A451)),LEFT(A451,5)&lt;&gt;"DESC="),MAX(B$2:B450)+1,"")</f>
        <v/>
      </c>
    </row>
    <row r="452" customFormat="false" ht="15" hidden="false" customHeight="false" outlineLevel="0" collapsed="false">
      <c r="A452" s="4"/>
      <c r="B452" s="5" t="str">
        <f aca="false">IF(AND(TRIM(A452)&lt;&gt;"",ISNUMBER(FIND(" MT"," "&amp;A452)),LEFT(A452,5)&lt;&gt;"DESC="),MAX(B$2:B451)+1,"")</f>
        <v/>
      </c>
    </row>
    <row r="453" customFormat="false" ht="15" hidden="false" customHeight="false" outlineLevel="0" collapsed="false">
      <c r="A453" s="4"/>
      <c r="B453" s="5" t="str">
        <f aca="false">IF(AND(TRIM(A453)&lt;&gt;"",ISNUMBER(FIND(" MT"," "&amp;A453)),LEFT(A453,5)&lt;&gt;"DESC="),MAX(B$2:B452)+1,"")</f>
        <v/>
      </c>
    </row>
    <row r="454" customFormat="false" ht="15" hidden="false" customHeight="false" outlineLevel="0" collapsed="false">
      <c r="A454" s="4"/>
      <c r="B454" s="5" t="str">
        <f aca="false">IF(AND(TRIM(A454)&lt;&gt;"",ISNUMBER(FIND(" MT"," "&amp;A454)),LEFT(A454,5)&lt;&gt;"DESC="),MAX(B$2:B453)+1,"")</f>
        <v/>
      </c>
    </row>
    <row r="455" customFormat="false" ht="15" hidden="false" customHeight="false" outlineLevel="0" collapsed="false">
      <c r="A455" s="4"/>
      <c r="B455" s="5" t="str">
        <f aca="false">IF(AND(TRIM(A455)&lt;&gt;"",ISNUMBER(FIND(" MT"," "&amp;A455)),LEFT(A455,5)&lt;&gt;"DESC="),MAX(B$2:B454)+1,"")</f>
        <v/>
      </c>
    </row>
    <row r="456" customFormat="false" ht="15" hidden="false" customHeight="false" outlineLevel="0" collapsed="false">
      <c r="A456" s="4"/>
      <c r="B456" s="5" t="str">
        <f aca="false">IF(AND(TRIM(A456)&lt;&gt;"",ISNUMBER(FIND(" MT"," "&amp;A456)),LEFT(A456,5)&lt;&gt;"DESC="),MAX(B$2:B455)+1,"")</f>
        <v/>
      </c>
    </row>
    <row r="457" customFormat="false" ht="15" hidden="false" customHeight="false" outlineLevel="0" collapsed="false">
      <c r="A457" s="4"/>
      <c r="B457" s="5" t="str">
        <f aca="false">IF(AND(TRIM(A457)&lt;&gt;"",ISNUMBER(FIND(" MT"," "&amp;A457)),LEFT(A457,5)&lt;&gt;"DESC="),MAX(B$2:B456)+1,"")</f>
        <v/>
      </c>
    </row>
    <row r="458" customFormat="false" ht="15" hidden="false" customHeight="false" outlineLevel="0" collapsed="false">
      <c r="A458" s="4"/>
      <c r="B458" s="5" t="str">
        <f aca="false">IF(AND(TRIM(A458)&lt;&gt;"",ISNUMBER(FIND(" MT"," "&amp;A458)),LEFT(A458,5)&lt;&gt;"DESC="),MAX(B$2:B457)+1,"")</f>
        <v/>
      </c>
    </row>
    <row r="459" customFormat="false" ht="15" hidden="false" customHeight="false" outlineLevel="0" collapsed="false">
      <c r="A459" s="4"/>
      <c r="B459" s="5" t="str">
        <f aca="false">IF(AND(TRIM(A459)&lt;&gt;"",ISNUMBER(FIND(" MT"," "&amp;A459)),LEFT(A459,5)&lt;&gt;"DESC="),MAX(B$2:B458)+1,"")</f>
        <v/>
      </c>
    </row>
    <row r="460" customFormat="false" ht="15" hidden="false" customHeight="false" outlineLevel="0" collapsed="false">
      <c r="A460" s="4"/>
      <c r="B460" s="5" t="str">
        <f aca="false">IF(AND(TRIM(A460)&lt;&gt;"",ISNUMBER(FIND(" MT"," "&amp;A460)),LEFT(A460,5)&lt;&gt;"DESC="),MAX(B$2:B459)+1,"")</f>
        <v/>
      </c>
    </row>
    <row r="461" customFormat="false" ht="15" hidden="false" customHeight="false" outlineLevel="0" collapsed="false">
      <c r="A461" s="4"/>
      <c r="B461" s="5" t="str">
        <f aca="false">IF(AND(TRIM(A461)&lt;&gt;"",ISNUMBER(FIND(" MT"," "&amp;A461)),LEFT(A461,5)&lt;&gt;"DESC="),MAX(B$2:B460)+1,"")</f>
        <v/>
      </c>
    </row>
    <row r="462" customFormat="false" ht="15" hidden="false" customHeight="false" outlineLevel="0" collapsed="false">
      <c r="A462" s="4"/>
      <c r="B462" s="5" t="str">
        <f aca="false">IF(AND(TRIM(A462)&lt;&gt;"",ISNUMBER(FIND(" MT"," "&amp;A462)),LEFT(A462,5)&lt;&gt;"DESC="),MAX(B$2:B461)+1,"")</f>
        <v/>
      </c>
    </row>
    <row r="463" customFormat="false" ht="15" hidden="false" customHeight="false" outlineLevel="0" collapsed="false">
      <c r="A463" s="4"/>
      <c r="B463" s="5" t="str">
        <f aca="false">IF(AND(TRIM(A463)&lt;&gt;"",ISNUMBER(FIND(" MT"," "&amp;A463)),LEFT(A463,5)&lt;&gt;"DESC="),MAX(B$2:B462)+1,"")</f>
        <v/>
      </c>
    </row>
    <row r="464" customFormat="false" ht="15" hidden="false" customHeight="false" outlineLevel="0" collapsed="false">
      <c r="A464" s="4"/>
      <c r="B464" s="5" t="str">
        <f aca="false">IF(AND(TRIM(A464)&lt;&gt;"",ISNUMBER(FIND(" MT"," "&amp;A464)),LEFT(A464,5)&lt;&gt;"DESC="),MAX(B$2:B463)+1,"")</f>
        <v/>
      </c>
    </row>
    <row r="465" customFormat="false" ht="15" hidden="false" customHeight="false" outlineLevel="0" collapsed="false">
      <c r="A465" s="4"/>
      <c r="B465" s="5" t="str">
        <f aca="false">IF(AND(TRIM(A465)&lt;&gt;"",ISNUMBER(FIND(" MT"," "&amp;A465)),LEFT(A465,5)&lt;&gt;"DESC="),MAX(B$2:B464)+1,"")</f>
        <v/>
      </c>
    </row>
    <row r="466" customFormat="false" ht="15" hidden="false" customHeight="false" outlineLevel="0" collapsed="false">
      <c r="A466" s="4"/>
      <c r="B466" s="5" t="str">
        <f aca="false">IF(AND(TRIM(A466)&lt;&gt;"",ISNUMBER(FIND(" MT"," "&amp;A466)),LEFT(A466,5)&lt;&gt;"DESC="),MAX(B$2:B465)+1,"")</f>
        <v/>
      </c>
    </row>
    <row r="467" customFormat="false" ht="15" hidden="false" customHeight="false" outlineLevel="0" collapsed="false">
      <c r="A467" s="4"/>
      <c r="B467" s="5" t="str">
        <f aca="false">IF(AND(TRIM(A467)&lt;&gt;"",ISNUMBER(FIND(" MT"," "&amp;A467)),LEFT(A467,5)&lt;&gt;"DESC="),MAX(B$2:B466)+1,"")</f>
        <v/>
      </c>
    </row>
    <row r="468" customFormat="false" ht="15" hidden="false" customHeight="false" outlineLevel="0" collapsed="false">
      <c r="A468" s="4"/>
      <c r="B468" s="5" t="str">
        <f aca="false">IF(AND(TRIM(A468)&lt;&gt;"",ISNUMBER(FIND(" MT"," "&amp;A468)),LEFT(A468,5)&lt;&gt;"DESC="),MAX(B$2:B467)+1,"")</f>
        <v/>
      </c>
    </row>
    <row r="469" customFormat="false" ht="15" hidden="false" customHeight="false" outlineLevel="0" collapsed="false">
      <c r="A469" s="4"/>
      <c r="B469" s="5" t="str">
        <f aca="false">IF(AND(TRIM(A469)&lt;&gt;"",ISNUMBER(FIND(" MT"," "&amp;A469)),LEFT(A469,5)&lt;&gt;"DESC="),MAX(B$2:B468)+1,"")</f>
        <v/>
      </c>
    </row>
    <row r="470" customFormat="false" ht="15" hidden="false" customHeight="false" outlineLevel="0" collapsed="false">
      <c r="A470" s="4"/>
      <c r="B470" s="5" t="str">
        <f aca="false">IF(AND(TRIM(A470)&lt;&gt;"",ISNUMBER(FIND(" MT"," "&amp;A470)),LEFT(A470,5)&lt;&gt;"DESC="),MAX(B$2:B469)+1,"")</f>
        <v/>
      </c>
    </row>
    <row r="471" customFormat="false" ht="15" hidden="false" customHeight="false" outlineLevel="0" collapsed="false">
      <c r="A471" s="4"/>
      <c r="B471" s="5" t="str">
        <f aca="false">IF(AND(TRIM(A471)&lt;&gt;"",ISNUMBER(FIND(" MT"," "&amp;A471)),LEFT(A471,5)&lt;&gt;"DESC="),MAX(B$2:B470)+1,"")</f>
        <v/>
      </c>
    </row>
    <row r="472" customFormat="false" ht="15" hidden="false" customHeight="false" outlineLevel="0" collapsed="false">
      <c r="A472" s="4"/>
      <c r="B472" s="5" t="str">
        <f aca="false">IF(AND(TRIM(A472)&lt;&gt;"",ISNUMBER(FIND(" MT"," "&amp;A472)),LEFT(A472,5)&lt;&gt;"DESC="),MAX(B$2:B471)+1,"")</f>
        <v/>
      </c>
    </row>
    <row r="473" customFormat="false" ht="15" hidden="false" customHeight="false" outlineLevel="0" collapsed="false">
      <c r="A473" s="4"/>
      <c r="B473" s="5" t="str">
        <f aca="false">IF(AND(TRIM(A473)&lt;&gt;"",ISNUMBER(FIND(" MT"," "&amp;A473)),LEFT(A473,5)&lt;&gt;"DESC="),MAX(B$2:B472)+1,"")</f>
        <v/>
      </c>
    </row>
    <row r="474" customFormat="false" ht="15" hidden="false" customHeight="false" outlineLevel="0" collapsed="false">
      <c r="A474" s="4"/>
      <c r="B474" s="5" t="str">
        <f aca="false">IF(AND(TRIM(A474)&lt;&gt;"",ISNUMBER(FIND(" MT"," "&amp;A474)),LEFT(A474,5)&lt;&gt;"DESC="),MAX(B$2:B473)+1,"")</f>
        <v/>
      </c>
    </row>
    <row r="475" customFormat="false" ht="15" hidden="false" customHeight="false" outlineLevel="0" collapsed="false">
      <c r="A475" s="4"/>
      <c r="B475" s="5" t="str">
        <f aca="false">IF(AND(TRIM(A475)&lt;&gt;"",ISNUMBER(FIND(" MT"," "&amp;A475)),LEFT(A475,5)&lt;&gt;"DESC="),MAX(B$2:B474)+1,"")</f>
        <v/>
      </c>
    </row>
    <row r="476" customFormat="false" ht="15" hidden="false" customHeight="false" outlineLevel="0" collapsed="false">
      <c r="A476" s="4"/>
      <c r="B476" s="5" t="str">
        <f aca="false">IF(AND(TRIM(A476)&lt;&gt;"",ISNUMBER(FIND(" MT"," "&amp;A476)),LEFT(A476,5)&lt;&gt;"DESC="),MAX(B$2:B475)+1,"")</f>
        <v/>
      </c>
    </row>
    <row r="477" customFormat="false" ht="15" hidden="false" customHeight="false" outlineLevel="0" collapsed="false">
      <c r="A477" s="4"/>
      <c r="B477" s="5" t="str">
        <f aca="false">IF(AND(TRIM(A477)&lt;&gt;"",ISNUMBER(FIND(" MT"," "&amp;A477)),LEFT(A477,5)&lt;&gt;"DESC="),MAX(B$2:B476)+1,"")</f>
        <v/>
      </c>
    </row>
    <row r="478" customFormat="false" ht="15" hidden="false" customHeight="false" outlineLevel="0" collapsed="false">
      <c r="A478" s="4"/>
      <c r="B478" s="5" t="str">
        <f aca="false">IF(AND(TRIM(A478)&lt;&gt;"",ISNUMBER(FIND(" MT"," "&amp;A478)),LEFT(A478,5)&lt;&gt;"DESC="),MAX(B$2:B477)+1,"")</f>
        <v/>
      </c>
    </row>
    <row r="479" customFormat="false" ht="15" hidden="false" customHeight="false" outlineLevel="0" collapsed="false">
      <c r="A479" s="4"/>
      <c r="B479" s="5" t="str">
        <f aca="false">IF(AND(TRIM(A479)&lt;&gt;"",ISNUMBER(FIND(" MT"," "&amp;A479)),LEFT(A479,5)&lt;&gt;"DESC="),MAX(B$2:B478)+1,"")</f>
        <v/>
      </c>
    </row>
    <row r="480" customFormat="false" ht="15" hidden="false" customHeight="false" outlineLevel="0" collapsed="false">
      <c r="A480" s="4"/>
      <c r="B480" s="5" t="str">
        <f aca="false">IF(AND(TRIM(A480)&lt;&gt;"",ISNUMBER(FIND(" MT"," "&amp;A480)),LEFT(A480,5)&lt;&gt;"DESC="),MAX(B$2:B479)+1,"")</f>
        <v/>
      </c>
    </row>
    <row r="481" customFormat="false" ht="15" hidden="false" customHeight="false" outlineLevel="0" collapsed="false">
      <c r="A481" s="4"/>
      <c r="B481" s="5" t="str">
        <f aca="false">IF(AND(TRIM(A481)&lt;&gt;"",ISNUMBER(FIND(" MT"," "&amp;A481)),LEFT(A481,5)&lt;&gt;"DESC="),MAX(B$2:B480)+1,"")</f>
        <v/>
      </c>
    </row>
    <row r="482" customFormat="false" ht="15" hidden="false" customHeight="false" outlineLevel="0" collapsed="false">
      <c r="A482" s="4"/>
      <c r="B482" s="5" t="str">
        <f aca="false">IF(AND(TRIM(A482)&lt;&gt;"",ISNUMBER(FIND(" MT"," "&amp;A482)),LEFT(A482,5)&lt;&gt;"DESC="),MAX(B$2:B481)+1,"")</f>
        <v/>
      </c>
    </row>
    <row r="483" customFormat="false" ht="15" hidden="false" customHeight="false" outlineLevel="0" collapsed="false">
      <c r="A483" s="4"/>
      <c r="B483" s="5" t="str">
        <f aca="false">IF(AND(TRIM(A483)&lt;&gt;"",ISNUMBER(FIND(" MT"," "&amp;A483)),LEFT(A483,5)&lt;&gt;"DESC="),MAX(B$2:B482)+1,"")</f>
        <v/>
      </c>
    </row>
    <row r="484" customFormat="false" ht="15" hidden="false" customHeight="false" outlineLevel="0" collapsed="false">
      <c r="A484" s="4"/>
      <c r="B484" s="5" t="str">
        <f aca="false">IF(AND(TRIM(A484)&lt;&gt;"",ISNUMBER(FIND(" MT"," "&amp;A484)),LEFT(A484,5)&lt;&gt;"DESC="),MAX(B$2:B483)+1,"")</f>
        <v/>
      </c>
    </row>
    <row r="485" customFormat="false" ht="15" hidden="false" customHeight="false" outlineLevel="0" collapsed="false">
      <c r="A485" s="4"/>
      <c r="B485" s="5" t="str">
        <f aca="false">IF(AND(TRIM(A485)&lt;&gt;"",ISNUMBER(FIND(" MT"," "&amp;A485)),LEFT(A485,5)&lt;&gt;"DESC="),MAX(B$2:B484)+1,"")</f>
        <v/>
      </c>
    </row>
    <row r="486" customFormat="false" ht="15" hidden="false" customHeight="false" outlineLevel="0" collapsed="false">
      <c r="A486" s="4"/>
      <c r="B486" s="5" t="str">
        <f aca="false">IF(AND(TRIM(A486)&lt;&gt;"",ISNUMBER(FIND(" MT"," "&amp;A486)),LEFT(A486,5)&lt;&gt;"DESC="),MAX(B$2:B485)+1,"")</f>
        <v/>
      </c>
    </row>
    <row r="487" customFormat="false" ht="15" hidden="false" customHeight="false" outlineLevel="0" collapsed="false">
      <c r="A487" s="4"/>
      <c r="B487" s="5" t="str">
        <f aca="false">IF(AND(TRIM(A487)&lt;&gt;"",ISNUMBER(FIND(" MT"," "&amp;A487)),LEFT(A487,5)&lt;&gt;"DESC="),MAX(B$2:B486)+1,"")</f>
        <v/>
      </c>
    </row>
    <row r="488" customFormat="false" ht="15" hidden="false" customHeight="false" outlineLevel="0" collapsed="false">
      <c r="A488" s="4"/>
      <c r="B488" s="5" t="str">
        <f aca="false">IF(AND(TRIM(A488)&lt;&gt;"",ISNUMBER(FIND(" MT"," "&amp;A488)),LEFT(A488,5)&lt;&gt;"DESC="),MAX(B$2:B487)+1,"")</f>
        <v/>
      </c>
    </row>
    <row r="489" customFormat="false" ht="15" hidden="false" customHeight="false" outlineLevel="0" collapsed="false">
      <c r="A489" s="4"/>
      <c r="B489" s="5" t="str">
        <f aca="false">IF(AND(TRIM(A489)&lt;&gt;"",ISNUMBER(FIND(" MT"," "&amp;A489)),LEFT(A489,5)&lt;&gt;"DESC="),MAX(B$2:B488)+1,"")</f>
        <v/>
      </c>
    </row>
    <row r="490" customFormat="false" ht="15" hidden="false" customHeight="false" outlineLevel="0" collapsed="false">
      <c r="A490" s="4"/>
      <c r="B490" s="5" t="str">
        <f aca="false">IF(AND(TRIM(A490)&lt;&gt;"",ISNUMBER(FIND(" MT"," "&amp;A490)),LEFT(A490,5)&lt;&gt;"DESC="),MAX(B$2:B489)+1,"")</f>
        <v/>
      </c>
    </row>
    <row r="491" customFormat="false" ht="15" hidden="false" customHeight="false" outlineLevel="0" collapsed="false">
      <c r="A491" s="4"/>
      <c r="B491" s="5" t="str">
        <f aca="false">IF(AND(TRIM(A491)&lt;&gt;"",ISNUMBER(FIND(" MT"," "&amp;A491)),LEFT(A491,5)&lt;&gt;"DESC="),MAX(B$2:B490)+1,"")</f>
        <v/>
      </c>
    </row>
    <row r="492" customFormat="false" ht="15" hidden="false" customHeight="false" outlineLevel="0" collapsed="false">
      <c r="A492" s="4"/>
      <c r="B492" s="5" t="str">
        <f aca="false">IF(AND(TRIM(A492)&lt;&gt;"",ISNUMBER(FIND(" MT"," "&amp;A492)),LEFT(A492,5)&lt;&gt;"DESC="),MAX(B$2:B491)+1,"")</f>
        <v/>
      </c>
    </row>
    <row r="493" customFormat="false" ht="15" hidden="false" customHeight="false" outlineLevel="0" collapsed="false">
      <c r="A493" s="4"/>
      <c r="B493" s="5" t="str">
        <f aca="false">IF(AND(TRIM(A493)&lt;&gt;"",ISNUMBER(FIND(" MT"," "&amp;A493)),LEFT(A493,5)&lt;&gt;"DESC="),MAX(B$2:B492)+1,"")</f>
        <v/>
      </c>
    </row>
    <row r="494" customFormat="false" ht="15" hidden="false" customHeight="false" outlineLevel="0" collapsed="false">
      <c r="A494" s="4"/>
      <c r="B494" s="5" t="str">
        <f aca="false">IF(AND(TRIM(A494)&lt;&gt;"",ISNUMBER(FIND(" MT"," "&amp;A494)),LEFT(A494,5)&lt;&gt;"DESC="),MAX(B$2:B493)+1,"")</f>
        <v/>
      </c>
    </row>
    <row r="495" customFormat="false" ht="15" hidden="false" customHeight="false" outlineLevel="0" collapsed="false">
      <c r="A495" s="4"/>
      <c r="B495" s="5" t="str">
        <f aca="false">IF(AND(TRIM(A495)&lt;&gt;"",ISNUMBER(FIND(" MT"," "&amp;A495)),LEFT(A495,5)&lt;&gt;"DESC="),MAX(B$2:B494)+1,"")</f>
        <v/>
      </c>
    </row>
    <row r="496" customFormat="false" ht="15" hidden="false" customHeight="false" outlineLevel="0" collapsed="false">
      <c r="A496" s="4"/>
      <c r="B496" s="5" t="str">
        <f aca="false">IF(AND(TRIM(A496)&lt;&gt;"",ISNUMBER(FIND(" MT"," "&amp;A496)),LEFT(A496,5)&lt;&gt;"DESC="),MAX(B$2:B495)+1,"")</f>
        <v/>
      </c>
    </row>
    <row r="497" customFormat="false" ht="15" hidden="false" customHeight="false" outlineLevel="0" collapsed="false">
      <c r="A497" s="4"/>
      <c r="B497" s="5" t="str">
        <f aca="false">IF(AND(TRIM(A497)&lt;&gt;"",ISNUMBER(FIND(" MT"," "&amp;A497)),LEFT(A497,5)&lt;&gt;"DESC="),MAX(B$2:B496)+1,"")</f>
        <v/>
      </c>
    </row>
    <row r="498" customFormat="false" ht="15" hidden="false" customHeight="false" outlineLevel="0" collapsed="false">
      <c r="A498" s="4"/>
      <c r="B498" s="5" t="str">
        <f aca="false">IF(AND(TRIM(A498)&lt;&gt;"",ISNUMBER(FIND(" MT"," "&amp;A498)),LEFT(A498,5)&lt;&gt;"DESC="),MAX(B$2:B497)+1,"")</f>
        <v/>
      </c>
    </row>
    <row r="499" customFormat="false" ht="15" hidden="false" customHeight="false" outlineLevel="0" collapsed="false">
      <c r="A499" s="4"/>
      <c r="B499" s="5" t="str">
        <f aca="false">IF(AND(TRIM(A499)&lt;&gt;"",ISNUMBER(FIND(" MT"," "&amp;A499)),LEFT(A499,5)&lt;&gt;"DESC="),MAX(B$2:B498)+1,"")</f>
        <v/>
      </c>
    </row>
    <row r="500" customFormat="false" ht="15" hidden="false" customHeight="false" outlineLevel="0" collapsed="false">
      <c r="A500" s="4"/>
      <c r="B500" s="5" t="str">
        <f aca="false">IF(AND(TRIM(A500)&lt;&gt;"",ISNUMBER(FIND(" MT"," "&amp;A500)),LEFT(A500,5)&lt;&gt;"DESC="),MAX(B$2:B499)+1,"")</f>
        <v/>
      </c>
    </row>
    <row r="501" customFormat="false" ht="15" hidden="false" customHeight="false" outlineLevel="0" collapsed="false">
      <c r="A501" s="4"/>
      <c r="B501" s="5" t="str">
        <f aca="false">IF(AND(TRIM(A501)&lt;&gt;"",ISNUMBER(FIND(" MT"," "&amp;A501)),LEFT(A501,5)&lt;&gt;"DESC="),MAX(B$2:B500)+1,"")</f>
        <v/>
      </c>
    </row>
    <row r="502" customFormat="false" ht="15" hidden="false" customHeight="false" outlineLevel="0" collapsed="false">
      <c r="A502" s="4"/>
      <c r="B502" s="5" t="str">
        <f aca="false">IF(AND(TRIM(A502)&lt;&gt;"",ISNUMBER(FIND(" MT"," "&amp;A502)),LEFT(A502,5)&lt;&gt;"DESC="),MAX(B$2:B501)+1,"")</f>
        <v/>
      </c>
    </row>
    <row r="503" customFormat="false" ht="15" hidden="false" customHeight="false" outlineLevel="0" collapsed="false">
      <c r="A503" s="4"/>
      <c r="B503" s="5" t="str">
        <f aca="false">IF(AND(TRIM(A503)&lt;&gt;"",ISNUMBER(FIND(" MT"," "&amp;A503)),LEFT(A503,5)&lt;&gt;"DESC="),MAX(B$2:B502)+1,"")</f>
        <v/>
      </c>
    </row>
    <row r="504" customFormat="false" ht="15" hidden="false" customHeight="false" outlineLevel="0" collapsed="false">
      <c r="A504" s="4"/>
      <c r="B504" s="5" t="str">
        <f aca="false">IF(AND(TRIM(A504)&lt;&gt;"",ISNUMBER(FIND(" MT"," "&amp;A504)),LEFT(A504,5)&lt;&gt;"DESC="),MAX(B$2:B503)+1,"")</f>
        <v/>
      </c>
    </row>
    <row r="505" customFormat="false" ht="15" hidden="false" customHeight="false" outlineLevel="0" collapsed="false">
      <c r="A505" s="4"/>
      <c r="B505" s="5" t="str">
        <f aca="false">IF(AND(TRIM(A505)&lt;&gt;"",ISNUMBER(FIND(" MT"," "&amp;A505)),LEFT(A505,5)&lt;&gt;"DESC="),MAX(B$2:B504)+1,"")</f>
        <v/>
      </c>
    </row>
    <row r="506" customFormat="false" ht="15" hidden="false" customHeight="false" outlineLevel="0" collapsed="false">
      <c r="A506" s="4"/>
      <c r="B506" s="5" t="str">
        <f aca="false">IF(AND(TRIM(A506)&lt;&gt;"",ISNUMBER(FIND(" MT"," "&amp;A506)),LEFT(A506,5)&lt;&gt;"DESC="),MAX(B$2:B505)+1,"")</f>
        <v/>
      </c>
    </row>
    <row r="507" customFormat="false" ht="15" hidden="false" customHeight="false" outlineLevel="0" collapsed="false">
      <c r="A507" s="4"/>
      <c r="B507" s="5" t="str">
        <f aca="false">IF(AND(TRIM(A507)&lt;&gt;"",ISNUMBER(FIND(" MT"," "&amp;A507)),LEFT(A507,5)&lt;&gt;"DESC="),MAX(B$2:B506)+1,"")</f>
        <v/>
      </c>
    </row>
    <row r="508" customFormat="false" ht="15" hidden="false" customHeight="false" outlineLevel="0" collapsed="false">
      <c r="A508" s="4"/>
      <c r="B508" s="5" t="str">
        <f aca="false">IF(AND(TRIM(A508)&lt;&gt;"",ISNUMBER(FIND(" MT"," "&amp;A508)),LEFT(A508,5)&lt;&gt;"DESC="),MAX(B$2:B507)+1,"")</f>
        <v/>
      </c>
    </row>
    <row r="509" customFormat="false" ht="15" hidden="false" customHeight="false" outlineLevel="0" collapsed="false">
      <c r="A509" s="4"/>
      <c r="B509" s="5" t="str">
        <f aca="false">IF(AND(TRIM(A509)&lt;&gt;"",ISNUMBER(FIND(" MT"," "&amp;A509)),LEFT(A509,5)&lt;&gt;"DESC="),MAX(B$2:B508)+1,"")</f>
        <v/>
      </c>
    </row>
    <row r="510" customFormat="false" ht="15" hidden="false" customHeight="false" outlineLevel="0" collapsed="false">
      <c r="A510" s="4"/>
      <c r="B510" s="5" t="str">
        <f aca="false">IF(AND(TRIM(A510)&lt;&gt;"",ISNUMBER(FIND(" MT"," "&amp;A510)),LEFT(A510,5)&lt;&gt;"DESC="),MAX(B$2:B509)+1,"")</f>
        <v/>
      </c>
    </row>
    <row r="511" customFormat="false" ht="15" hidden="false" customHeight="false" outlineLevel="0" collapsed="false">
      <c r="A511" s="4"/>
      <c r="B511" s="5" t="str">
        <f aca="false">IF(AND(TRIM(A511)&lt;&gt;"",ISNUMBER(FIND(" MT"," "&amp;A511)),LEFT(A511,5)&lt;&gt;"DESC="),MAX(B$2:B510)+1,"")</f>
        <v/>
      </c>
    </row>
    <row r="512" customFormat="false" ht="15" hidden="false" customHeight="false" outlineLevel="0" collapsed="false">
      <c r="A512" s="4"/>
      <c r="B512" s="5" t="str">
        <f aca="false">IF(AND(TRIM(A512)&lt;&gt;"",ISNUMBER(FIND(" MT"," "&amp;A512)),LEFT(A512,5)&lt;&gt;"DESC="),MAX(B$2:B511)+1,"")</f>
        <v/>
      </c>
    </row>
    <row r="513" customFormat="false" ht="15" hidden="false" customHeight="false" outlineLevel="0" collapsed="false">
      <c r="A513" s="4"/>
      <c r="B513" s="5" t="str">
        <f aca="false">IF(AND(TRIM(A513)&lt;&gt;"",ISNUMBER(FIND(" MT"," "&amp;A513)),LEFT(A513,5)&lt;&gt;"DESC="),MAX(B$2:B512)+1,"")</f>
        <v/>
      </c>
    </row>
    <row r="514" customFormat="false" ht="15" hidden="false" customHeight="false" outlineLevel="0" collapsed="false">
      <c r="A514" s="4"/>
      <c r="B514" s="5" t="str">
        <f aca="false">IF(AND(TRIM(A514)&lt;&gt;"",ISNUMBER(FIND(" MT"," "&amp;A514)),LEFT(A514,5)&lt;&gt;"DESC="),MAX(B$2:B513)+1,"")</f>
        <v/>
      </c>
    </row>
    <row r="515" customFormat="false" ht="15" hidden="false" customHeight="false" outlineLevel="0" collapsed="false">
      <c r="A515" s="4"/>
      <c r="B515" s="5" t="str">
        <f aca="false">IF(AND(TRIM(A515)&lt;&gt;"",ISNUMBER(FIND(" MT"," "&amp;A515)),LEFT(A515,5)&lt;&gt;"DESC="),MAX(B$2:B514)+1,"")</f>
        <v/>
      </c>
    </row>
    <row r="516" customFormat="false" ht="15" hidden="false" customHeight="false" outlineLevel="0" collapsed="false">
      <c r="A516" s="4"/>
      <c r="B516" s="5" t="str">
        <f aca="false">IF(AND(TRIM(A516)&lt;&gt;"",ISNUMBER(FIND(" MT"," "&amp;A516)),LEFT(A516,5)&lt;&gt;"DESC="),MAX(B$2:B515)+1,"")</f>
        <v/>
      </c>
    </row>
    <row r="517" customFormat="false" ht="15" hidden="false" customHeight="false" outlineLevel="0" collapsed="false">
      <c r="A517" s="4"/>
      <c r="B517" s="5" t="str">
        <f aca="false">IF(AND(TRIM(A517)&lt;&gt;"",ISNUMBER(FIND(" MT"," "&amp;A517)),LEFT(A517,5)&lt;&gt;"DESC="),MAX(B$2:B516)+1,"")</f>
        <v/>
      </c>
    </row>
    <row r="518" customFormat="false" ht="15" hidden="false" customHeight="false" outlineLevel="0" collapsed="false">
      <c r="A518" s="4"/>
      <c r="B518" s="5" t="str">
        <f aca="false">IF(AND(TRIM(A518)&lt;&gt;"",ISNUMBER(FIND(" MT"," "&amp;A518)),LEFT(A518,5)&lt;&gt;"DESC="),MAX(B$2:B517)+1,"")</f>
        <v/>
      </c>
    </row>
    <row r="519" customFormat="false" ht="15" hidden="false" customHeight="false" outlineLevel="0" collapsed="false">
      <c r="A519" s="4"/>
      <c r="B519" s="5" t="str">
        <f aca="false">IF(AND(TRIM(A519)&lt;&gt;"",ISNUMBER(FIND(" MT"," "&amp;A519)),LEFT(A519,5)&lt;&gt;"DESC="),MAX(B$2:B518)+1,"")</f>
        <v/>
      </c>
    </row>
    <row r="520" customFormat="false" ht="15" hidden="false" customHeight="false" outlineLevel="0" collapsed="false">
      <c r="A520" s="4"/>
      <c r="B520" s="5" t="str">
        <f aca="false">IF(AND(TRIM(A520)&lt;&gt;"",ISNUMBER(FIND(" MT"," "&amp;A520)),LEFT(A520,5)&lt;&gt;"DESC="),MAX(B$2:B519)+1,"")</f>
        <v/>
      </c>
    </row>
    <row r="521" customFormat="false" ht="15" hidden="false" customHeight="false" outlineLevel="0" collapsed="false">
      <c r="A521" s="4"/>
      <c r="B521" s="5" t="str">
        <f aca="false">IF(AND(TRIM(A521)&lt;&gt;"",ISNUMBER(FIND(" MT"," "&amp;A521)),LEFT(A521,5)&lt;&gt;"DESC="),MAX(B$2:B520)+1,"")</f>
        <v/>
      </c>
    </row>
    <row r="522" customFormat="false" ht="15" hidden="false" customHeight="false" outlineLevel="0" collapsed="false">
      <c r="A522" s="4"/>
      <c r="B522" s="5" t="str">
        <f aca="false">IF(AND(TRIM(A522)&lt;&gt;"",ISNUMBER(FIND(" MT"," "&amp;A522)),LEFT(A522,5)&lt;&gt;"DESC="),MAX(B$2:B521)+1,"")</f>
        <v/>
      </c>
    </row>
    <row r="523" customFormat="false" ht="15" hidden="false" customHeight="false" outlineLevel="0" collapsed="false">
      <c r="A523" s="4"/>
      <c r="B523" s="5" t="str">
        <f aca="false">IF(AND(TRIM(A523)&lt;&gt;"",ISNUMBER(FIND(" MT"," "&amp;A523)),LEFT(A523,5)&lt;&gt;"DESC="),MAX(B$2:B522)+1,"")</f>
        <v/>
      </c>
    </row>
    <row r="524" customFormat="false" ht="15" hidden="false" customHeight="false" outlineLevel="0" collapsed="false">
      <c r="A524" s="4"/>
      <c r="B524" s="5" t="str">
        <f aca="false">IF(AND(TRIM(A524)&lt;&gt;"",ISNUMBER(FIND(" MT"," "&amp;A524)),LEFT(A524,5)&lt;&gt;"DESC="),MAX(B$2:B523)+1,"")</f>
        <v/>
      </c>
    </row>
    <row r="525" customFormat="false" ht="15" hidden="false" customHeight="false" outlineLevel="0" collapsed="false">
      <c r="A525" s="4"/>
      <c r="B525" s="5" t="str">
        <f aca="false">IF(AND(TRIM(A525)&lt;&gt;"",ISNUMBER(FIND(" MT"," "&amp;A525)),LEFT(A525,5)&lt;&gt;"DESC="),MAX(B$2:B524)+1,"")</f>
        <v/>
      </c>
    </row>
    <row r="526" customFormat="false" ht="15" hidden="false" customHeight="false" outlineLevel="0" collapsed="false">
      <c r="A526" s="4"/>
      <c r="B526" s="5" t="str">
        <f aca="false">IF(AND(TRIM(A526)&lt;&gt;"",ISNUMBER(FIND(" MT"," "&amp;A526)),LEFT(A526,5)&lt;&gt;"DESC="),MAX(B$2:B525)+1,"")</f>
        <v/>
      </c>
    </row>
    <row r="527" customFormat="false" ht="15" hidden="false" customHeight="false" outlineLevel="0" collapsed="false">
      <c r="A527" s="4"/>
      <c r="B527" s="5" t="str">
        <f aca="false">IF(AND(TRIM(A527)&lt;&gt;"",ISNUMBER(FIND(" MT"," "&amp;A527)),LEFT(A527,5)&lt;&gt;"DESC="),MAX(B$2:B526)+1,"")</f>
        <v/>
      </c>
    </row>
    <row r="528" customFormat="false" ht="15" hidden="false" customHeight="false" outlineLevel="0" collapsed="false">
      <c r="A528" s="4"/>
      <c r="B528" s="5" t="str">
        <f aca="false">IF(AND(TRIM(A528)&lt;&gt;"",ISNUMBER(FIND(" MT"," "&amp;A528)),LEFT(A528,5)&lt;&gt;"DESC="),MAX(B$2:B527)+1,"")</f>
        <v/>
      </c>
    </row>
    <row r="529" customFormat="false" ht="15" hidden="false" customHeight="false" outlineLevel="0" collapsed="false">
      <c r="A529" s="4"/>
      <c r="B529" s="5" t="str">
        <f aca="false">IF(AND(TRIM(A529)&lt;&gt;"",ISNUMBER(FIND(" MT"," "&amp;A529)),LEFT(A529,5)&lt;&gt;"DESC="),MAX(B$2:B528)+1,"")</f>
        <v/>
      </c>
    </row>
    <row r="530" customFormat="false" ht="15" hidden="false" customHeight="false" outlineLevel="0" collapsed="false">
      <c r="A530" s="4"/>
      <c r="B530" s="5" t="str">
        <f aca="false">IF(AND(TRIM(A530)&lt;&gt;"",ISNUMBER(FIND(" MT"," "&amp;A530)),LEFT(A530,5)&lt;&gt;"DESC="),MAX(B$2:B529)+1,"")</f>
        <v/>
      </c>
    </row>
    <row r="531" customFormat="false" ht="15" hidden="false" customHeight="false" outlineLevel="0" collapsed="false">
      <c r="A531" s="4"/>
      <c r="B531" s="5" t="str">
        <f aca="false">IF(AND(TRIM(A531)&lt;&gt;"",ISNUMBER(FIND(" MT"," "&amp;A531)),LEFT(A531,5)&lt;&gt;"DESC="),MAX(B$2:B530)+1,"")</f>
        <v/>
      </c>
    </row>
    <row r="532" customFormat="false" ht="15" hidden="false" customHeight="false" outlineLevel="0" collapsed="false">
      <c r="A532" s="4"/>
      <c r="B532" s="5" t="str">
        <f aca="false">IF(AND(TRIM(A532)&lt;&gt;"",ISNUMBER(FIND(" MT"," "&amp;A532)),LEFT(A532,5)&lt;&gt;"DESC="),MAX(B$2:B531)+1,"")</f>
        <v/>
      </c>
    </row>
    <row r="533" customFormat="false" ht="15" hidden="false" customHeight="false" outlineLevel="0" collapsed="false">
      <c r="A533" s="4"/>
      <c r="B533" s="5" t="str">
        <f aca="false">IF(AND(TRIM(A533)&lt;&gt;"",ISNUMBER(FIND(" MT"," "&amp;A533)),LEFT(A533,5)&lt;&gt;"DESC="),MAX(B$2:B532)+1,"")</f>
        <v/>
      </c>
    </row>
    <row r="534" customFormat="false" ht="15" hidden="false" customHeight="false" outlineLevel="0" collapsed="false">
      <c r="A534" s="4"/>
      <c r="B534" s="5" t="str">
        <f aca="false">IF(AND(TRIM(A534)&lt;&gt;"",ISNUMBER(FIND(" MT"," "&amp;A534)),LEFT(A534,5)&lt;&gt;"DESC="),MAX(B$2:B533)+1,"")</f>
        <v/>
      </c>
    </row>
    <row r="535" customFormat="false" ht="15" hidden="false" customHeight="false" outlineLevel="0" collapsed="false">
      <c r="A535" s="4"/>
      <c r="B535" s="5" t="str">
        <f aca="false">IF(AND(TRIM(A535)&lt;&gt;"",ISNUMBER(FIND(" MT"," "&amp;A535)),LEFT(A535,5)&lt;&gt;"DESC="),MAX(B$2:B534)+1,"")</f>
        <v/>
      </c>
    </row>
    <row r="536" customFormat="false" ht="15" hidden="false" customHeight="false" outlineLevel="0" collapsed="false">
      <c r="A536" s="4"/>
      <c r="B536" s="5" t="str">
        <f aca="false">IF(AND(TRIM(A536)&lt;&gt;"",ISNUMBER(FIND(" MT"," "&amp;A536)),LEFT(A536,5)&lt;&gt;"DESC="),MAX(B$2:B535)+1,"")</f>
        <v/>
      </c>
    </row>
    <row r="537" customFormat="false" ht="15" hidden="false" customHeight="false" outlineLevel="0" collapsed="false">
      <c r="A537" s="4"/>
      <c r="B537" s="5" t="str">
        <f aca="false">IF(AND(TRIM(A537)&lt;&gt;"",ISNUMBER(FIND(" MT"," "&amp;A537)),LEFT(A537,5)&lt;&gt;"DESC="),MAX(B$2:B536)+1,"")</f>
        <v/>
      </c>
    </row>
    <row r="538" customFormat="false" ht="15" hidden="false" customHeight="false" outlineLevel="0" collapsed="false">
      <c r="A538" s="4"/>
      <c r="B538" s="5" t="str">
        <f aca="false">IF(AND(TRIM(A538)&lt;&gt;"",ISNUMBER(FIND(" MT"," "&amp;A538)),LEFT(A538,5)&lt;&gt;"DESC="),MAX(B$2:B537)+1,"")</f>
        <v/>
      </c>
    </row>
    <row r="539" customFormat="false" ht="15" hidden="false" customHeight="false" outlineLevel="0" collapsed="false">
      <c r="A539" s="4"/>
      <c r="B539" s="5" t="str">
        <f aca="false">IF(AND(TRIM(A539)&lt;&gt;"",ISNUMBER(FIND(" MT"," "&amp;A539)),LEFT(A539,5)&lt;&gt;"DESC="),MAX(B$2:B538)+1,"")</f>
        <v/>
      </c>
    </row>
    <row r="540" customFormat="false" ht="15" hidden="false" customHeight="false" outlineLevel="0" collapsed="false">
      <c r="A540" s="4"/>
      <c r="B540" s="5" t="str">
        <f aca="false">IF(AND(TRIM(A540)&lt;&gt;"",ISNUMBER(FIND(" MT"," "&amp;A540)),LEFT(A540,5)&lt;&gt;"DESC="),MAX(B$2:B539)+1,"")</f>
        <v/>
      </c>
    </row>
    <row r="541" customFormat="false" ht="15" hidden="false" customHeight="false" outlineLevel="0" collapsed="false">
      <c r="A541" s="4"/>
      <c r="B541" s="5" t="str">
        <f aca="false">IF(AND(TRIM(A541)&lt;&gt;"",ISNUMBER(FIND(" MT"," "&amp;A541)),LEFT(A541,5)&lt;&gt;"DESC="),MAX(B$2:B540)+1,"")</f>
        <v/>
      </c>
    </row>
    <row r="542" customFormat="false" ht="15" hidden="false" customHeight="false" outlineLevel="0" collapsed="false">
      <c r="A542" s="4"/>
      <c r="B542" s="5" t="str">
        <f aca="false">IF(AND(TRIM(A542)&lt;&gt;"",ISNUMBER(FIND(" MT"," "&amp;A542)),LEFT(A542,5)&lt;&gt;"DESC="),MAX(B$2:B541)+1,"")</f>
        <v/>
      </c>
    </row>
    <row r="543" customFormat="false" ht="15" hidden="false" customHeight="false" outlineLevel="0" collapsed="false">
      <c r="A543" s="4"/>
      <c r="B543" s="5" t="str">
        <f aca="false">IF(AND(TRIM(A543)&lt;&gt;"",ISNUMBER(FIND(" MT"," "&amp;A543)),LEFT(A543,5)&lt;&gt;"DESC="),MAX(B$2:B542)+1,"")</f>
        <v/>
      </c>
    </row>
    <row r="544" customFormat="false" ht="15" hidden="false" customHeight="false" outlineLevel="0" collapsed="false">
      <c r="A544" s="4"/>
      <c r="B544" s="5" t="str">
        <f aca="false">IF(AND(TRIM(A544)&lt;&gt;"",ISNUMBER(FIND(" MT"," "&amp;A544)),LEFT(A544,5)&lt;&gt;"DESC="),MAX(B$2:B543)+1,"")</f>
        <v/>
      </c>
    </row>
    <row r="545" customFormat="false" ht="15" hidden="false" customHeight="false" outlineLevel="0" collapsed="false">
      <c r="A545" s="4"/>
      <c r="B545" s="5" t="str">
        <f aca="false">IF(AND(TRIM(A545)&lt;&gt;"",ISNUMBER(FIND(" MT"," "&amp;A545)),LEFT(A545,5)&lt;&gt;"DESC="),MAX(B$2:B544)+1,"")</f>
        <v/>
      </c>
    </row>
    <row r="546" customFormat="false" ht="15" hidden="false" customHeight="false" outlineLevel="0" collapsed="false">
      <c r="A546" s="4"/>
      <c r="B546" s="5" t="str">
        <f aca="false">IF(AND(TRIM(A546)&lt;&gt;"",ISNUMBER(FIND(" MT"," "&amp;A546)),LEFT(A546,5)&lt;&gt;"DESC="),MAX(B$2:B545)+1,"")</f>
        <v/>
      </c>
    </row>
    <row r="547" customFormat="false" ht="15" hidden="false" customHeight="false" outlineLevel="0" collapsed="false">
      <c r="A547" s="4"/>
      <c r="B547" s="5" t="str">
        <f aca="false">IF(AND(TRIM(A547)&lt;&gt;"",ISNUMBER(FIND(" MT"," "&amp;A547)),LEFT(A547,5)&lt;&gt;"DESC="),MAX(B$2:B546)+1,"")</f>
        <v/>
      </c>
    </row>
    <row r="548" customFormat="false" ht="15" hidden="false" customHeight="false" outlineLevel="0" collapsed="false">
      <c r="A548" s="4"/>
      <c r="B548" s="5" t="str">
        <f aca="false">IF(AND(TRIM(A548)&lt;&gt;"",ISNUMBER(FIND(" MT"," "&amp;A548)),LEFT(A548,5)&lt;&gt;"DESC="),MAX(B$2:B547)+1,"")</f>
        <v/>
      </c>
    </row>
    <row r="549" customFormat="false" ht="15" hidden="false" customHeight="false" outlineLevel="0" collapsed="false">
      <c r="A549" s="4"/>
      <c r="B549" s="5" t="str">
        <f aca="false">IF(AND(TRIM(A549)&lt;&gt;"",ISNUMBER(FIND(" MT"," "&amp;A549)),LEFT(A549,5)&lt;&gt;"DESC="),MAX(B$2:B548)+1,"")</f>
        <v/>
      </c>
    </row>
    <row r="550" customFormat="false" ht="15" hidden="false" customHeight="false" outlineLevel="0" collapsed="false">
      <c r="A550" s="4"/>
      <c r="B550" s="5" t="str">
        <f aca="false">IF(AND(TRIM(A550)&lt;&gt;"",ISNUMBER(FIND(" MT"," "&amp;A550)),LEFT(A550,5)&lt;&gt;"DESC="),MAX(B$2:B549)+1,"")</f>
        <v/>
      </c>
    </row>
    <row r="551" customFormat="false" ht="15" hidden="false" customHeight="false" outlineLevel="0" collapsed="false">
      <c r="A551" s="4"/>
      <c r="B551" s="5" t="str">
        <f aca="false">IF(AND(TRIM(A551)&lt;&gt;"",ISNUMBER(FIND(" MT"," "&amp;A551)),LEFT(A551,5)&lt;&gt;"DESC="),MAX(B$2:B550)+1,"")</f>
        <v/>
      </c>
    </row>
    <row r="552" customFormat="false" ht="15" hidden="false" customHeight="false" outlineLevel="0" collapsed="false">
      <c r="A552" s="4"/>
      <c r="B552" s="5" t="str">
        <f aca="false">IF(AND(TRIM(A552)&lt;&gt;"",ISNUMBER(FIND(" MT"," "&amp;A552)),LEFT(A552,5)&lt;&gt;"DESC="),MAX(B$2:B551)+1,"")</f>
        <v/>
      </c>
    </row>
    <row r="553" customFormat="false" ht="15" hidden="false" customHeight="false" outlineLevel="0" collapsed="false">
      <c r="A553" s="4"/>
      <c r="B553" s="5" t="str">
        <f aca="false">IF(AND(TRIM(A553)&lt;&gt;"",ISNUMBER(FIND(" MT"," "&amp;A553)),LEFT(A553,5)&lt;&gt;"DESC="),MAX(B$2:B552)+1,"")</f>
        <v/>
      </c>
    </row>
    <row r="554" customFormat="false" ht="15" hidden="false" customHeight="false" outlineLevel="0" collapsed="false">
      <c r="A554" s="4"/>
      <c r="B554" s="5" t="str">
        <f aca="false">IF(AND(TRIM(A554)&lt;&gt;"",ISNUMBER(FIND(" MT"," "&amp;A554)),LEFT(A554,5)&lt;&gt;"DESC="),MAX(B$2:B553)+1,"")</f>
        <v/>
      </c>
    </row>
    <row r="555" customFormat="false" ht="15" hidden="false" customHeight="false" outlineLevel="0" collapsed="false">
      <c r="A555" s="4"/>
      <c r="B555" s="5" t="str">
        <f aca="false">IF(AND(TRIM(A555)&lt;&gt;"",ISNUMBER(FIND(" MT"," "&amp;A555)),LEFT(A555,5)&lt;&gt;"DESC="),MAX(B$2:B554)+1,"")</f>
        <v/>
      </c>
    </row>
    <row r="556" customFormat="false" ht="15" hidden="false" customHeight="false" outlineLevel="0" collapsed="false">
      <c r="A556" s="4"/>
      <c r="B556" s="5" t="str">
        <f aca="false">IF(AND(TRIM(A556)&lt;&gt;"",ISNUMBER(FIND(" MT"," "&amp;A556)),LEFT(A556,5)&lt;&gt;"DESC="),MAX(B$2:B555)+1,"")</f>
        <v/>
      </c>
    </row>
    <row r="557" customFormat="false" ht="15" hidden="false" customHeight="false" outlineLevel="0" collapsed="false">
      <c r="A557" s="4"/>
      <c r="B557" s="5" t="str">
        <f aca="false">IF(AND(TRIM(A557)&lt;&gt;"",ISNUMBER(FIND(" MT"," "&amp;A557)),LEFT(A557,5)&lt;&gt;"DESC="),MAX(B$2:B556)+1,"")</f>
        <v/>
      </c>
    </row>
    <row r="558" customFormat="false" ht="15" hidden="false" customHeight="false" outlineLevel="0" collapsed="false">
      <c r="A558" s="4"/>
      <c r="B558" s="5" t="str">
        <f aca="false">IF(AND(TRIM(A558)&lt;&gt;"",ISNUMBER(FIND(" MT"," "&amp;A558)),LEFT(A558,5)&lt;&gt;"DESC="),MAX(B$2:B557)+1,"")</f>
        <v/>
      </c>
    </row>
    <row r="559" customFormat="false" ht="15" hidden="false" customHeight="false" outlineLevel="0" collapsed="false">
      <c r="A559" s="4"/>
      <c r="B559" s="5" t="str">
        <f aca="false">IF(AND(TRIM(A559)&lt;&gt;"",ISNUMBER(FIND(" MT"," "&amp;A559)),LEFT(A559,5)&lt;&gt;"DESC="),MAX(B$2:B558)+1,"")</f>
        <v/>
      </c>
    </row>
    <row r="560" customFormat="false" ht="15" hidden="false" customHeight="false" outlineLevel="0" collapsed="false">
      <c r="A560" s="4"/>
      <c r="B560" s="5" t="str">
        <f aca="false">IF(AND(TRIM(A560)&lt;&gt;"",ISNUMBER(FIND(" MT"," "&amp;A560)),LEFT(A560,5)&lt;&gt;"DESC="),MAX(B$2:B559)+1,"")</f>
        <v/>
      </c>
    </row>
    <row r="561" customFormat="false" ht="15" hidden="false" customHeight="false" outlineLevel="0" collapsed="false">
      <c r="A561" s="4"/>
      <c r="B561" s="5" t="str">
        <f aca="false">IF(AND(TRIM(A561)&lt;&gt;"",ISNUMBER(FIND(" MT"," "&amp;A561)),LEFT(A561,5)&lt;&gt;"DESC="),MAX(B$2:B560)+1,"")</f>
        <v/>
      </c>
    </row>
    <row r="562" customFormat="false" ht="15" hidden="false" customHeight="false" outlineLevel="0" collapsed="false">
      <c r="A562" s="4"/>
      <c r="B562" s="5" t="str">
        <f aca="false">IF(AND(TRIM(A562)&lt;&gt;"",ISNUMBER(FIND(" MT"," "&amp;A562)),LEFT(A562,5)&lt;&gt;"DESC="),MAX(B$2:B561)+1,"")</f>
        <v/>
      </c>
    </row>
    <row r="563" customFormat="false" ht="15" hidden="false" customHeight="false" outlineLevel="0" collapsed="false">
      <c r="A563" s="4"/>
      <c r="B563" s="5" t="str">
        <f aca="false">IF(AND(TRIM(A563)&lt;&gt;"",ISNUMBER(FIND(" MT"," "&amp;A563)),LEFT(A563,5)&lt;&gt;"DESC="),MAX(B$2:B562)+1,"")</f>
        <v/>
      </c>
    </row>
    <row r="564" customFormat="false" ht="15" hidden="false" customHeight="false" outlineLevel="0" collapsed="false">
      <c r="A564" s="4"/>
      <c r="B564" s="5" t="str">
        <f aca="false">IF(AND(TRIM(A564)&lt;&gt;"",ISNUMBER(FIND(" MT"," "&amp;A564)),LEFT(A564,5)&lt;&gt;"DESC="),MAX(B$2:B563)+1,"")</f>
        <v/>
      </c>
    </row>
    <row r="565" customFormat="false" ht="15" hidden="false" customHeight="false" outlineLevel="0" collapsed="false">
      <c r="A565" s="4"/>
      <c r="B565" s="5" t="str">
        <f aca="false">IF(AND(TRIM(A565)&lt;&gt;"",ISNUMBER(FIND(" MT"," "&amp;A565)),LEFT(A565,5)&lt;&gt;"DESC="),MAX(B$2:B564)+1,"")</f>
        <v/>
      </c>
    </row>
    <row r="566" customFormat="false" ht="15" hidden="false" customHeight="false" outlineLevel="0" collapsed="false">
      <c r="A566" s="4"/>
      <c r="B566" s="5" t="str">
        <f aca="false">IF(AND(TRIM(A566)&lt;&gt;"",ISNUMBER(FIND(" MT"," "&amp;A566)),LEFT(A566,5)&lt;&gt;"DESC="),MAX(B$2:B565)+1,"")</f>
        <v/>
      </c>
    </row>
    <row r="567" customFormat="false" ht="15" hidden="false" customHeight="false" outlineLevel="0" collapsed="false">
      <c r="A567" s="4"/>
      <c r="B567" s="5" t="str">
        <f aca="false">IF(AND(TRIM(A567)&lt;&gt;"",ISNUMBER(FIND(" MT"," "&amp;A567)),LEFT(A567,5)&lt;&gt;"DESC="),MAX(B$2:B566)+1,"")</f>
        <v/>
      </c>
    </row>
    <row r="568" customFormat="false" ht="15" hidden="false" customHeight="false" outlineLevel="0" collapsed="false">
      <c r="A568" s="4"/>
      <c r="B568" s="5" t="str">
        <f aca="false">IF(AND(TRIM(A568)&lt;&gt;"",ISNUMBER(FIND(" MT"," "&amp;A568)),LEFT(A568,5)&lt;&gt;"DESC="),MAX(B$2:B567)+1,"")</f>
        <v/>
      </c>
    </row>
    <row r="569" customFormat="false" ht="15" hidden="false" customHeight="false" outlineLevel="0" collapsed="false">
      <c r="A569" s="4"/>
      <c r="B569" s="5" t="str">
        <f aca="false">IF(AND(TRIM(A569)&lt;&gt;"",ISNUMBER(FIND(" MT"," "&amp;A569)),LEFT(A569,5)&lt;&gt;"DESC="),MAX(B$2:B568)+1,"")</f>
        <v/>
      </c>
    </row>
    <row r="570" customFormat="false" ht="15" hidden="false" customHeight="false" outlineLevel="0" collapsed="false">
      <c r="A570" s="4"/>
      <c r="B570" s="5" t="str">
        <f aca="false">IF(AND(TRIM(A570)&lt;&gt;"",ISNUMBER(FIND(" MT"," "&amp;A570)),LEFT(A570,5)&lt;&gt;"DESC="),MAX(B$2:B569)+1,"")</f>
        <v/>
      </c>
    </row>
    <row r="571" customFormat="false" ht="15" hidden="false" customHeight="false" outlineLevel="0" collapsed="false">
      <c r="A571" s="4"/>
      <c r="B571" s="5" t="str">
        <f aca="false">IF(AND(TRIM(A571)&lt;&gt;"",ISNUMBER(FIND(" MT"," "&amp;A571)),LEFT(A571,5)&lt;&gt;"DESC="),MAX(B$2:B570)+1,"")</f>
        <v/>
      </c>
    </row>
    <row r="572" customFormat="false" ht="15" hidden="false" customHeight="false" outlineLevel="0" collapsed="false">
      <c r="A572" s="4"/>
      <c r="B572" s="5" t="str">
        <f aca="false">IF(AND(TRIM(A572)&lt;&gt;"",ISNUMBER(FIND(" MT"," "&amp;A572)),LEFT(A572,5)&lt;&gt;"DESC="),MAX(B$2:B571)+1,"")</f>
        <v/>
      </c>
    </row>
    <row r="573" customFormat="false" ht="15" hidden="false" customHeight="false" outlineLevel="0" collapsed="false">
      <c r="A573" s="4"/>
      <c r="B573" s="5" t="str">
        <f aca="false">IF(AND(TRIM(A573)&lt;&gt;"",ISNUMBER(FIND(" MT"," "&amp;A573)),LEFT(A573,5)&lt;&gt;"DESC="),MAX(B$2:B572)+1,"")</f>
        <v/>
      </c>
    </row>
    <row r="574" customFormat="false" ht="15" hidden="false" customHeight="false" outlineLevel="0" collapsed="false">
      <c r="A574" s="4"/>
      <c r="B574" s="5" t="str">
        <f aca="false">IF(AND(TRIM(A574)&lt;&gt;"",ISNUMBER(FIND(" MT"," "&amp;A574)),LEFT(A574,5)&lt;&gt;"DESC="),MAX(B$2:B573)+1,"")</f>
        <v/>
      </c>
    </row>
    <row r="575" customFormat="false" ht="15" hidden="false" customHeight="false" outlineLevel="0" collapsed="false">
      <c r="A575" s="4"/>
      <c r="B575" s="5" t="str">
        <f aca="false">IF(AND(TRIM(A575)&lt;&gt;"",ISNUMBER(FIND(" MT"," "&amp;A575)),LEFT(A575,5)&lt;&gt;"DESC="),MAX(B$2:B574)+1,"")</f>
        <v/>
      </c>
    </row>
    <row r="576" customFormat="false" ht="15" hidden="false" customHeight="false" outlineLevel="0" collapsed="false">
      <c r="A576" s="4"/>
      <c r="B576" s="5" t="str">
        <f aca="false">IF(AND(TRIM(A576)&lt;&gt;"",ISNUMBER(FIND(" MT"," "&amp;A576)),LEFT(A576,5)&lt;&gt;"DESC="),MAX(B$2:B575)+1,"")</f>
        <v/>
      </c>
    </row>
    <row r="577" customFormat="false" ht="15" hidden="false" customHeight="false" outlineLevel="0" collapsed="false">
      <c r="A577" s="4"/>
      <c r="B577" s="5" t="str">
        <f aca="false">IF(AND(TRIM(A577)&lt;&gt;"",ISNUMBER(FIND(" MT"," "&amp;A577)),LEFT(A577,5)&lt;&gt;"DESC="),MAX(B$2:B576)+1,"")</f>
        <v/>
      </c>
    </row>
    <row r="578" customFormat="false" ht="15" hidden="false" customHeight="false" outlineLevel="0" collapsed="false">
      <c r="A578" s="4"/>
      <c r="B578" s="5" t="str">
        <f aca="false">IF(AND(TRIM(A578)&lt;&gt;"",ISNUMBER(FIND(" MT"," "&amp;A578)),LEFT(A578,5)&lt;&gt;"DESC="),MAX(B$2:B577)+1,"")</f>
        <v/>
      </c>
    </row>
    <row r="579" customFormat="false" ht="15" hidden="false" customHeight="false" outlineLevel="0" collapsed="false">
      <c r="A579" s="4"/>
      <c r="B579" s="5" t="str">
        <f aca="false">IF(AND(TRIM(A579)&lt;&gt;"",ISNUMBER(FIND(" MT"," "&amp;A579)),LEFT(A579,5)&lt;&gt;"DESC="),MAX(B$2:B578)+1,"")</f>
        <v/>
      </c>
    </row>
    <row r="580" customFormat="false" ht="15" hidden="false" customHeight="false" outlineLevel="0" collapsed="false">
      <c r="A580" s="4"/>
      <c r="B580" s="5" t="str">
        <f aca="false">IF(AND(TRIM(A580)&lt;&gt;"",ISNUMBER(FIND(" MT"," "&amp;A580)),LEFT(A580,5)&lt;&gt;"DESC="),MAX(B$2:B579)+1,"")</f>
        <v/>
      </c>
    </row>
    <row r="581" customFormat="false" ht="15" hidden="false" customHeight="false" outlineLevel="0" collapsed="false">
      <c r="A581" s="4"/>
      <c r="B581" s="5" t="str">
        <f aca="false">IF(AND(TRIM(A581)&lt;&gt;"",ISNUMBER(FIND(" MT"," "&amp;A581)),LEFT(A581,5)&lt;&gt;"DESC="),MAX(B$2:B580)+1,"")</f>
        <v/>
      </c>
    </row>
    <row r="582" customFormat="false" ht="15" hidden="false" customHeight="false" outlineLevel="0" collapsed="false">
      <c r="A582" s="4"/>
      <c r="B582" s="5" t="str">
        <f aca="false">IF(AND(TRIM(A582)&lt;&gt;"",ISNUMBER(FIND(" MT"," "&amp;A582)),LEFT(A582,5)&lt;&gt;"DESC="),MAX(B$2:B581)+1,"")</f>
        <v/>
      </c>
    </row>
    <row r="583" customFormat="false" ht="15" hidden="false" customHeight="false" outlineLevel="0" collapsed="false">
      <c r="A583" s="4"/>
      <c r="B583" s="5" t="str">
        <f aca="false">IF(AND(TRIM(A583)&lt;&gt;"",ISNUMBER(FIND(" MT"," "&amp;A583)),LEFT(A583,5)&lt;&gt;"DESC="),MAX(B$2:B582)+1,"")</f>
        <v/>
      </c>
    </row>
    <row r="584" customFormat="false" ht="15" hidden="false" customHeight="false" outlineLevel="0" collapsed="false">
      <c r="A584" s="4"/>
      <c r="B584" s="5" t="str">
        <f aca="false">IF(AND(TRIM(A584)&lt;&gt;"",ISNUMBER(FIND(" MT"," "&amp;A584)),LEFT(A584,5)&lt;&gt;"DESC="),MAX(B$2:B583)+1,"")</f>
        <v/>
      </c>
    </row>
    <row r="585" customFormat="false" ht="15" hidden="false" customHeight="false" outlineLevel="0" collapsed="false">
      <c r="A585" s="4"/>
      <c r="B585" s="5" t="str">
        <f aca="false">IF(AND(TRIM(A585)&lt;&gt;"",ISNUMBER(FIND(" MT"," "&amp;A585)),LEFT(A585,5)&lt;&gt;"DESC="),MAX(B$2:B584)+1,"")</f>
        <v/>
      </c>
    </row>
    <row r="586" customFormat="false" ht="15" hidden="false" customHeight="false" outlineLevel="0" collapsed="false">
      <c r="A586" s="4"/>
      <c r="B586" s="5" t="str">
        <f aca="false">IF(AND(TRIM(A586)&lt;&gt;"",ISNUMBER(FIND(" MT"," "&amp;A586)),LEFT(A586,5)&lt;&gt;"DESC="),MAX(B$2:B585)+1,"")</f>
        <v/>
      </c>
    </row>
    <row r="587" customFormat="false" ht="15" hidden="false" customHeight="false" outlineLevel="0" collapsed="false">
      <c r="A587" s="4"/>
      <c r="B587" s="5" t="str">
        <f aca="false">IF(AND(TRIM(A587)&lt;&gt;"",ISNUMBER(FIND(" MT"," "&amp;A587)),LEFT(A587,5)&lt;&gt;"DESC="),MAX(B$2:B586)+1,"")</f>
        <v/>
      </c>
    </row>
    <row r="588" customFormat="false" ht="15" hidden="false" customHeight="false" outlineLevel="0" collapsed="false">
      <c r="A588" s="4"/>
      <c r="B588" s="5" t="str">
        <f aca="false">IF(AND(TRIM(A588)&lt;&gt;"",ISNUMBER(FIND(" MT"," "&amp;A588)),LEFT(A588,5)&lt;&gt;"DESC="),MAX(B$2:B587)+1,"")</f>
        <v/>
      </c>
    </row>
    <row r="589" customFormat="false" ht="15" hidden="false" customHeight="false" outlineLevel="0" collapsed="false">
      <c r="A589" s="4"/>
      <c r="B589" s="5" t="str">
        <f aca="false">IF(AND(TRIM(A589)&lt;&gt;"",ISNUMBER(FIND(" MT"," "&amp;A589)),LEFT(A589,5)&lt;&gt;"DESC="),MAX(B$2:B588)+1,"")</f>
        <v/>
      </c>
    </row>
    <row r="590" customFormat="false" ht="15" hidden="false" customHeight="false" outlineLevel="0" collapsed="false">
      <c r="A590" s="4"/>
      <c r="B590" s="5" t="str">
        <f aca="false">IF(AND(TRIM(A590)&lt;&gt;"",ISNUMBER(FIND(" MT"," "&amp;A590)),LEFT(A590,5)&lt;&gt;"DESC="),MAX(B$2:B589)+1,"")</f>
        <v/>
      </c>
    </row>
    <row r="591" customFormat="false" ht="15" hidden="false" customHeight="false" outlineLevel="0" collapsed="false">
      <c r="A591" s="4"/>
      <c r="B591" s="5" t="str">
        <f aca="false">IF(AND(TRIM(A591)&lt;&gt;"",ISNUMBER(FIND(" MT"," "&amp;A591)),LEFT(A591,5)&lt;&gt;"DESC="),MAX(B$2:B590)+1,"")</f>
        <v/>
      </c>
    </row>
    <row r="592" customFormat="false" ht="15" hidden="false" customHeight="false" outlineLevel="0" collapsed="false">
      <c r="A592" s="4"/>
      <c r="B592" s="5" t="str">
        <f aca="false">IF(AND(TRIM(A592)&lt;&gt;"",ISNUMBER(FIND(" MT"," "&amp;A592)),LEFT(A592,5)&lt;&gt;"DESC="),MAX(B$2:B591)+1,"")</f>
        <v/>
      </c>
    </row>
    <row r="593" customFormat="false" ht="15" hidden="false" customHeight="false" outlineLevel="0" collapsed="false">
      <c r="A593" s="4"/>
      <c r="B593" s="5" t="str">
        <f aca="false">IF(AND(TRIM(A593)&lt;&gt;"",ISNUMBER(FIND(" MT"," "&amp;A593)),LEFT(A593,5)&lt;&gt;"DESC="),MAX(B$2:B592)+1,"")</f>
        <v/>
      </c>
    </row>
    <row r="594" customFormat="false" ht="15" hidden="false" customHeight="false" outlineLevel="0" collapsed="false">
      <c r="A594" s="4"/>
      <c r="B594" s="5" t="str">
        <f aca="false">IF(AND(TRIM(A594)&lt;&gt;"",ISNUMBER(FIND(" MT"," "&amp;A594)),LEFT(A594,5)&lt;&gt;"DESC="),MAX(B$2:B593)+1,"")</f>
        <v/>
      </c>
    </row>
    <row r="595" customFormat="false" ht="15" hidden="false" customHeight="false" outlineLevel="0" collapsed="false">
      <c r="A595" s="4"/>
      <c r="B595" s="5" t="str">
        <f aca="false">IF(AND(TRIM(A595)&lt;&gt;"",ISNUMBER(FIND(" MT"," "&amp;A595)),LEFT(A595,5)&lt;&gt;"DESC="),MAX(B$2:B594)+1,"")</f>
        <v/>
      </c>
    </row>
    <row r="596" customFormat="false" ht="15" hidden="false" customHeight="false" outlineLevel="0" collapsed="false">
      <c r="A596" s="4"/>
      <c r="B596" s="5" t="str">
        <f aca="false">IF(AND(TRIM(A596)&lt;&gt;"",ISNUMBER(FIND(" MT"," "&amp;A596)),LEFT(A596,5)&lt;&gt;"DESC="),MAX(B$2:B595)+1,"")</f>
        <v/>
      </c>
    </row>
    <row r="597" customFormat="false" ht="15" hidden="false" customHeight="false" outlineLevel="0" collapsed="false">
      <c r="A597" s="4"/>
      <c r="B597" s="5" t="str">
        <f aca="false">IF(AND(TRIM(A597)&lt;&gt;"",ISNUMBER(FIND(" MT"," "&amp;A597)),LEFT(A597,5)&lt;&gt;"DESC="),MAX(B$2:B596)+1,"")</f>
        <v/>
      </c>
    </row>
    <row r="598" customFormat="false" ht="15" hidden="false" customHeight="false" outlineLevel="0" collapsed="false">
      <c r="A598" s="4"/>
      <c r="B598" s="5" t="str">
        <f aca="false">IF(AND(TRIM(A598)&lt;&gt;"",ISNUMBER(FIND(" MT"," "&amp;A598)),LEFT(A598,5)&lt;&gt;"DESC="),MAX(B$2:B597)+1,"")</f>
        <v/>
      </c>
    </row>
    <row r="599" customFormat="false" ht="15" hidden="false" customHeight="false" outlineLevel="0" collapsed="false">
      <c r="A599" s="4"/>
      <c r="B599" s="5" t="str">
        <f aca="false">IF(AND(TRIM(A599)&lt;&gt;"",ISNUMBER(FIND(" MT"," "&amp;A599)),LEFT(A599,5)&lt;&gt;"DESC="),MAX(B$2:B598)+1,"")</f>
        <v/>
      </c>
    </row>
    <row r="600" customFormat="false" ht="15" hidden="false" customHeight="false" outlineLevel="0" collapsed="false">
      <c r="A600" s="4"/>
      <c r="B600" s="5" t="str">
        <f aca="false">IF(AND(TRIM(A600)&lt;&gt;"",ISNUMBER(FIND(" MT"," "&amp;A600)),LEFT(A600,5)&lt;&gt;"DESC="),MAX(B$2:B599)+1,"")</f>
        <v/>
      </c>
    </row>
    <row r="601" customFormat="false" ht="15" hidden="false" customHeight="false" outlineLevel="0" collapsed="false">
      <c r="A601" s="4"/>
      <c r="B601" s="5" t="str">
        <f aca="false">IF(AND(TRIM(A601)&lt;&gt;"",ISNUMBER(FIND(" MT"," "&amp;A601)),LEFT(A601,5)&lt;&gt;"DESC="),MAX(B$2:B600)+1,"")</f>
        <v/>
      </c>
    </row>
    <row r="602" customFormat="false" ht="15" hidden="false" customHeight="false" outlineLevel="0" collapsed="false">
      <c r="A602" s="4"/>
      <c r="B602" s="5" t="str">
        <f aca="false">IF(AND(TRIM(A602)&lt;&gt;"",ISNUMBER(FIND(" MT"," "&amp;A602)),LEFT(A602,5)&lt;&gt;"DESC="),MAX(B$2:B601)+1,"")</f>
        <v/>
      </c>
    </row>
    <row r="603" customFormat="false" ht="15" hidden="false" customHeight="false" outlineLevel="0" collapsed="false">
      <c r="A603" s="4"/>
      <c r="B603" s="5" t="str">
        <f aca="false">IF(AND(TRIM(A603)&lt;&gt;"",ISNUMBER(FIND(" MT"," "&amp;A603)),LEFT(A603,5)&lt;&gt;"DESC="),MAX(B$2:B602)+1,"")</f>
        <v/>
      </c>
    </row>
    <row r="604" customFormat="false" ht="15" hidden="false" customHeight="false" outlineLevel="0" collapsed="false">
      <c r="A604" s="4"/>
      <c r="B604" s="5" t="str">
        <f aca="false">IF(AND(TRIM(A604)&lt;&gt;"",ISNUMBER(FIND(" MT"," "&amp;A604)),LEFT(A604,5)&lt;&gt;"DESC="),MAX(B$2:B603)+1,"")</f>
        <v/>
      </c>
    </row>
    <row r="605" customFormat="false" ht="15" hidden="false" customHeight="false" outlineLevel="0" collapsed="false">
      <c r="A605" s="4"/>
      <c r="B605" s="5" t="str">
        <f aca="false">IF(AND(TRIM(A605)&lt;&gt;"",ISNUMBER(FIND(" MT"," "&amp;A605)),LEFT(A605,5)&lt;&gt;"DESC="),MAX(B$2:B604)+1,"")</f>
        <v/>
      </c>
    </row>
    <row r="606" customFormat="false" ht="15" hidden="false" customHeight="false" outlineLevel="0" collapsed="false">
      <c r="A606" s="4"/>
      <c r="B606" s="5" t="str">
        <f aca="false">IF(AND(TRIM(A606)&lt;&gt;"",ISNUMBER(FIND(" MT"," "&amp;A606)),LEFT(A606,5)&lt;&gt;"DESC="),MAX(B$2:B605)+1,"")</f>
        <v/>
      </c>
    </row>
    <row r="607" customFormat="false" ht="15" hidden="false" customHeight="false" outlineLevel="0" collapsed="false">
      <c r="A607" s="4"/>
      <c r="B607" s="5" t="str">
        <f aca="false">IF(AND(TRIM(A607)&lt;&gt;"",ISNUMBER(FIND(" MT"," "&amp;A607)),LEFT(A607,5)&lt;&gt;"DESC="),MAX(B$2:B606)+1,"")</f>
        <v/>
      </c>
    </row>
    <row r="608" customFormat="false" ht="15" hidden="false" customHeight="false" outlineLevel="0" collapsed="false">
      <c r="A608" s="4"/>
      <c r="B608" s="5" t="str">
        <f aca="false">IF(AND(TRIM(A608)&lt;&gt;"",ISNUMBER(FIND(" MT"," "&amp;A608)),LEFT(A608,5)&lt;&gt;"DESC="),MAX(B$2:B607)+1,"")</f>
        <v/>
      </c>
    </row>
    <row r="609" customFormat="false" ht="15" hidden="false" customHeight="false" outlineLevel="0" collapsed="false">
      <c r="A609" s="4"/>
      <c r="B609" s="5" t="str">
        <f aca="false">IF(AND(TRIM(A609)&lt;&gt;"",ISNUMBER(FIND(" MT"," "&amp;A609)),LEFT(A609,5)&lt;&gt;"DESC="),MAX(B$2:B608)+1,"")</f>
        <v/>
      </c>
    </row>
    <row r="610" customFormat="false" ht="15" hidden="false" customHeight="false" outlineLevel="0" collapsed="false">
      <c r="A610" s="4"/>
      <c r="B610" s="5" t="str">
        <f aca="false">IF(AND(TRIM(A610)&lt;&gt;"",ISNUMBER(FIND(" MT"," "&amp;A610)),LEFT(A610,5)&lt;&gt;"DESC="),MAX(B$2:B609)+1,"")</f>
        <v/>
      </c>
    </row>
    <row r="611" customFormat="false" ht="15" hidden="false" customHeight="false" outlineLevel="0" collapsed="false">
      <c r="A611" s="4"/>
      <c r="B611" s="5" t="str">
        <f aca="false">IF(AND(TRIM(A611)&lt;&gt;"",ISNUMBER(FIND(" MT"," "&amp;A611)),LEFT(A611,5)&lt;&gt;"DESC="),MAX(B$2:B610)+1,"")</f>
        <v/>
      </c>
    </row>
    <row r="612" customFormat="false" ht="15" hidden="false" customHeight="false" outlineLevel="0" collapsed="false">
      <c r="A612" s="4"/>
      <c r="B612" s="5" t="str">
        <f aca="false">IF(AND(TRIM(A612)&lt;&gt;"",ISNUMBER(FIND(" MT"," "&amp;A612)),LEFT(A612,5)&lt;&gt;"DESC="),MAX(B$2:B611)+1,"")</f>
        <v/>
      </c>
    </row>
    <row r="613" customFormat="false" ht="15" hidden="false" customHeight="false" outlineLevel="0" collapsed="false">
      <c r="A613" s="4"/>
      <c r="B613" s="5" t="str">
        <f aca="false">IF(AND(TRIM(A613)&lt;&gt;"",ISNUMBER(FIND(" MT"," "&amp;A613)),LEFT(A613,5)&lt;&gt;"DESC="),MAX(B$2:B612)+1,"")</f>
        <v/>
      </c>
    </row>
    <row r="614" customFormat="false" ht="15" hidden="false" customHeight="false" outlineLevel="0" collapsed="false">
      <c r="A614" s="4"/>
      <c r="B614" s="5" t="str">
        <f aca="false">IF(AND(TRIM(A614)&lt;&gt;"",ISNUMBER(FIND(" MT"," "&amp;A614)),LEFT(A614,5)&lt;&gt;"DESC="),MAX(B$2:B613)+1,"")</f>
        <v/>
      </c>
    </row>
    <row r="615" customFormat="false" ht="15" hidden="false" customHeight="false" outlineLevel="0" collapsed="false">
      <c r="A615" s="4"/>
      <c r="B615" s="5" t="str">
        <f aca="false">IF(AND(TRIM(A615)&lt;&gt;"",ISNUMBER(FIND(" MT"," "&amp;A615)),LEFT(A615,5)&lt;&gt;"DESC="),MAX(B$2:B614)+1,"")</f>
        <v/>
      </c>
    </row>
    <row r="616" customFormat="false" ht="15" hidden="false" customHeight="false" outlineLevel="0" collapsed="false">
      <c r="A616" s="4"/>
      <c r="B616" s="5" t="str">
        <f aca="false">IF(AND(TRIM(A616)&lt;&gt;"",ISNUMBER(FIND(" MT"," "&amp;A616)),LEFT(A616,5)&lt;&gt;"DESC="),MAX(B$2:B615)+1,"")</f>
        <v/>
      </c>
    </row>
    <row r="617" customFormat="false" ht="15" hidden="false" customHeight="false" outlineLevel="0" collapsed="false">
      <c r="A617" s="4"/>
      <c r="B617" s="5" t="str">
        <f aca="false">IF(AND(TRIM(A617)&lt;&gt;"",ISNUMBER(FIND(" MT"," "&amp;A617)),LEFT(A617,5)&lt;&gt;"DESC="),MAX(B$2:B616)+1,"")</f>
        <v/>
      </c>
    </row>
    <row r="618" customFormat="false" ht="15" hidden="false" customHeight="false" outlineLevel="0" collapsed="false">
      <c r="A618" s="4"/>
      <c r="B618" s="5" t="str">
        <f aca="false">IF(AND(TRIM(A618)&lt;&gt;"",ISNUMBER(FIND(" MT"," "&amp;A618)),LEFT(A618,5)&lt;&gt;"DESC="),MAX(B$2:B617)+1,"")</f>
        <v/>
      </c>
    </row>
    <row r="619" customFormat="false" ht="15" hidden="false" customHeight="false" outlineLevel="0" collapsed="false">
      <c r="A619" s="4"/>
      <c r="B619" s="5" t="str">
        <f aca="false">IF(AND(TRIM(A619)&lt;&gt;"",ISNUMBER(FIND(" MT"," "&amp;A619)),LEFT(A619,5)&lt;&gt;"DESC="),MAX(B$2:B618)+1,"")</f>
        <v/>
      </c>
    </row>
    <row r="620" customFormat="false" ht="15" hidden="false" customHeight="false" outlineLevel="0" collapsed="false">
      <c r="A620" s="4"/>
      <c r="B620" s="5" t="str">
        <f aca="false">IF(AND(TRIM(A620)&lt;&gt;"",ISNUMBER(FIND(" MT"," "&amp;A620)),LEFT(A620,5)&lt;&gt;"DESC="),MAX(B$2:B619)+1,"")</f>
        <v/>
      </c>
    </row>
    <row r="621" customFormat="false" ht="15" hidden="false" customHeight="false" outlineLevel="0" collapsed="false">
      <c r="A621" s="4"/>
      <c r="B621" s="5" t="str">
        <f aca="false">IF(AND(TRIM(A621)&lt;&gt;"",ISNUMBER(FIND(" MT"," "&amp;A621)),LEFT(A621,5)&lt;&gt;"DESC="),MAX(B$2:B620)+1,"")</f>
        <v/>
      </c>
    </row>
    <row r="622" customFormat="false" ht="15" hidden="false" customHeight="false" outlineLevel="0" collapsed="false">
      <c r="A622" s="4"/>
      <c r="B622" s="5" t="str">
        <f aca="false">IF(AND(TRIM(A622)&lt;&gt;"",ISNUMBER(FIND(" MT"," "&amp;A622)),LEFT(A622,5)&lt;&gt;"DESC="),MAX(B$2:B621)+1,"")</f>
        <v/>
      </c>
    </row>
    <row r="623" customFormat="false" ht="15" hidden="false" customHeight="false" outlineLevel="0" collapsed="false">
      <c r="A623" s="4"/>
      <c r="B623" s="5" t="str">
        <f aca="false">IF(AND(TRIM(A623)&lt;&gt;"",ISNUMBER(FIND(" MT"," "&amp;A623)),LEFT(A623,5)&lt;&gt;"DESC="),MAX(B$2:B622)+1,"")</f>
        <v/>
      </c>
    </row>
    <row r="624" customFormat="false" ht="15" hidden="false" customHeight="false" outlineLevel="0" collapsed="false">
      <c r="A624" s="4"/>
      <c r="B624" s="5" t="str">
        <f aca="false">IF(AND(TRIM(A624)&lt;&gt;"",ISNUMBER(FIND(" MT"," "&amp;A624)),LEFT(A624,5)&lt;&gt;"DESC="),MAX(B$2:B623)+1,"")</f>
        <v/>
      </c>
    </row>
    <row r="625" customFormat="false" ht="15" hidden="false" customHeight="false" outlineLevel="0" collapsed="false">
      <c r="A625" s="4"/>
      <c r="B625" s="5" t="str">
        <f aca="false">IF(AND(TRIM(A625)&lt;&gt;"",ISNUMBER(FIND(" MT"," "&amp;A625)),LEFT(A625,5)&lt;&gt;"DESC="),MAX(B$2:B624)+1,"")</f>
        <v/>
      </c>
    </row>
    <row r="626" customFormat="false" ht="15" hidden="false" customHeight="false" outlineLevel="0" collapsed="false">
      <c r="A626" s="4"/>
      <c r="B626" s="5" t="str">
        <f aca="false">IF(AND(TRIM(A626)&lt;&gt;"",ISNUMBER(FIND(" MT"," "&amp;A626)),LEFT(A626,5)&lt;&gt;"DESC="),MAX(B$2:B625)+1,"")</f>
        <v/>
      </c>
    </row>
    <row r="627" customFormat="false" ht="15" hidden="false" customHeight="false" outlineLevel="0" collapsed="false">
      <c r="A627" s="4"/>
      <c r="B627" s="5" t="str">
        <f aca="false">IF(AND(TRIM(A627)&lt;&gt;"",ISNUMBER(FIND(" MT"," "&amp;A627)),LEFT(A627,5)&lt;&gt;"DESC="),MAX(B$2:B626)+1,"")</f>
        <v/>
      </c>
    </row>
    <row r="628" customFormat="false" ht="15" hidden="false" customHeight="false" outlineLevel="0" collapsed="false">
      <c r="A628" s="4"/>
      <c r="B628" s="5" t="str">
        <f aca="false">IF(AND(TRIM(A628)&lt;&gt;"",ISNUMBER(FIND(" MT"," "&amp;A628)),LEFT(A628,5)&lt;&gt;"DESC="),MAX(B$2:B627)+1,"")</f>
        <v/>
      </c>
    </row>
    <row r="629" customFormat="false" ht="15" hidden="false" customHeight="false" outlineLevel="0" collapsed="false">
      <c r="A629" s="4"/>
      <c r="B629" s="5" t="str">
        <f aca="false">IF(AND(TRIM(A629)&lt;&gt;"",ISNUMBER(FIND(" MT"," "&amp;A629)),LEFT(A629,5)&lt;&gt;"DESC="),MAX(B$2:B628)+1,"")</f>
        <v/>
      </c>
    </row>
    <row r="630" customFormat="false" ht="15" hidden="false" customHeight="false" outlineLevel="0" collapsed="false">
      <c r="A630" s="4"/>
      <c r="B630" s="5" t="str">
        <f aca="false">IF(AND(TRIM(A630)&lt;&gt;"",ISNUMBER(FIND(" MT"," "&amp;A630)),LEFT(A630,5)&lt;&gt;"DESC="),MAX(B$2:B629)+1,"")</f>
        <v/>
      </c>
    </row>
    <row r="631" customFormat="false" ht="15" hidden="false" customHeight="false" outlineLevel="0" collapsed="false">
      <c r="A631" s="4"/>
      <c r="B631" s="5" t="str">
        <f aca="false">IF(AND(TRIM(A631)&lt;&gt;"",ISNUMBER(FIND(" MT"," "&amp;A631)),LEFT(A631,5)&lt;&gt;"DESC="),MAX(B$2:B630)+1,"")</f>
        <v/>
      </c>
    </row>
    <row r="632" customFormat="false" ht="15" hidden="false" customHeight="false" outlineLevel="0" collapsed="false">
      <c r="A632" s="4"/>
      <c r="B632" s="5" t="str">
        <f aca="false">IF(AND(TRIM(A632)&lt;&gt;"",ISNUMBER(FIND(" MT"," "&amp;A632)),LEFT(A632,5)&lt;&gt;"DESC="),MAX(B$2:B631)+1,"")</f>
        <v/>
      </c>
    </row>
    <row r="633" customFormat="false" ht="15" hidden="false" customHeight="false" outlineLevel="0" collapsed="false">
      <c r="A633" s="4"/>
      <c r="B633" s="5" t="str">
        <f aca="false">IF(AND(TRIM(A633)&lt;&gt;"",ISNUMBER(FIND(" MT"," "&amp;A633)),LEFT(A633,5)&lt;&gt;"DESC="),MAX(B$2:B632)+1,"")</f>
        <v/>
      </c>
    </row>
    <row r="634" customFormat="false" ht="15" hidden="false" customHeight="false" outlineLevel="0" collapsed="false">
      <c r="A634" s="4"/>
      <c r="B634" s="5" t="str">
        <f aca="false">IF(AND(TRIM(A634)&lt;&gt;"",ISNUMBER(FIND(" MT"," "&amp;A634)),LEFT(A634,5)&lt;&gt;"DESC="),MAX(B$2:B633)+1,"")</f>
        <v/>
      </c>
    </row>
    <row r="635" customFormat="false" ht="15" hidden="false" customHeight="false" outlineLevel="0" collapsed="false">
      <c r="A635" s="4"/>
      <c r="B635" s="5" t="str">
        <f aca="false">IF(AND(TRIM(A635)&lt;&gt;"",ISNUMBER(FIND(" MT"," "&amp;A635)),LEFT(A635,5)&lt;&gt;"DESC="),MAX(B$2:B634)+1,"")</f>
        <v/>
      </c>
    </row>
    <row r="636" customFormat="false" ht="15" hidden="false" customHeight="false" outlineLevel="0" collapsed="false">
      <c r="A636" s="4"/>
      <c r="B636" s="5" t="str">
        <f aca="false">IF(AND(TRIM(A636)&lt;&gt;"",ISNUMBER(FIND(" MT"," "&amp;A636)),LEFT(A636,5)&lt;&gt;"DESC="),MAX(B$2:B635)+1,"")</f>
        <v/>
      </c>
    </row>
    <row r="637" customFormat="false" ht="15" hidden="false" customHeight="false" outlineLevel="0" collapsed="false">
      <c r="A637" s="4"/>
      <c r="B637" s="5" t="str">
        <f aca="false">IF(AND(TRIM(A637)&lt;&gt;"",ISNUMBER(FIND(" MT"," "&amp;A637)),LEFT(A637,5)&lt;&gt;"DESC="),MAX(B$2:B636)+1,"")</f>
        <v/>
      </c>
    </row>
    <row r="638" customFormat="false" ht="15" hidden="false" customHeight="false" outlineLevel="0" collapsed="false">
      <c r="A638" s="4"/>
      <c r="B638" s="5" t="str">
        <f aca="false">IF(AND(TRIM(A638)&lt;&gt;"",ISNUMBER(FIND(" MT"," "&amp;A638)),LEFT(A638,5)&lt;&gt;"DESC="),MAX(B$2:B637)+1,"")</f>
        <v/>
      </c>
    </row>
    <row r="639" customFormat="false" ht="15" hidden="false" customHeight="false" outlineLevel="0" collapsed="false">
      <c r="A639" s="4"/>
      <c r="B639" s="5" t="str">
        <f aca="false">IF(AND(TRIM(A639)&lt;&gt;"",ISNUMBER(FIND(" MT"," "&amp;A639)),LEFT(A639,5)&lt;&gt;"DESC="),MAX(B$2:B638)+1,"")</f>
        <v/>
      </c>
    </row>
    <row r="640" customFormat="false" ht="15" hidden="false" customHeight="false" outlineLevel="0" collapsed="false">
      <c r="A640" s="4"/>
      <c r="B640" s="5" t="str">
        <f aca="false">IF(AND(TRIM(A640)&lt;&gt;"",ISNUMBER(FIND(" MT"," "&amp;A640)),LEFT(A640,5)&lt;&gt;"DESC="),MAX(B$2:B639)+1,"")</f>
        <v/>
      </c>
    </row>
    <row r="641" customFormat="false" ht="15" hidden="false" customHeight="false" outlineLevel="0" collapsed="false">
      <c r="A641" s="4"/>
      <c r="B641" s="5" t="str">
        <f aca="false">IF(AND(TRIM(A641)&lt;&gt;"",ISNUMBER(FIND(" MT"," "&amp;A641)),LEFT(A641,5)&lt;&gt;"DESC="),MAX(B$2:B640)+1,"")</f>
        <v/>
      </c>
    </row>
    <row r="642" customFormat="false" ht="15" hidden="false" customHeight="false" outlineLevel="0" collapsed="false">
      <c r="A642" s="4"/>
      <c r="B642" s="5" t="str">
        <f aca="false">IF(AND(TRIM(A642)&lt;&gt;"",ISNUMBER(FIND(" MT"," "&amp;A642)),LEFT(A642,5)&lt;&gt;"DESC="),MAX(B$2:B641)+1,"")</f>
        <v/>
      </c>
    </row>
    <row r="643" customFormat="false" ht="15" hidden="false" customHeight="false" outlineLevel="0" collapsed="false">
      <c r="A643" s="4"/>
      <c r="B643" s="5" t="str">
        <f aca="false">IF(AND(TRIM(A643)&lt;&gt;"",ISNUMBER(FIND(" MT"," "&amp;A643)),LEFT(A643,5)&lt;&gt;"DESC="),MAX(B$2:B642)+1,"")</f>
        <v/>
      </c>
    </row>
    <row r="644" customFormat="false" ht="15" hidden="false" customHeight="false" outlineLevel="0" collapsed="false">
      <c r="A644" s="4"/>
      <c r="B644" s="5" t="str">
        <f aca="false">IF(AND(TRIM(A644)&lt;&gt;"",ISNUMBER(FIND(" MT"," "&amp;A644)),LEFT(A644,5)&lt;&gt;"DESC="),MAX(B$2:B643)+1,"")</f>
        <v/>
      </c>
    </row>
    <row r="645" customFormat="false" ht="15" hidden="false" customHeight="false" outlineLevel="0" collapsed="false">
      <c r="A645" s="4"/>
      <c r="B645" s="5" t="str">
        <f aca="false">IF(AND(TRIM(A645)&lt;&gt;"",ISNUMBER(FIND(" MT"," "&amp;A645)),LEFT(A645,5)&lt;&gt;"DESC="),MAX(B$2:B644)+1,"")</f>
        <v/>
      </c>
    </row>
    <row r="646" customFormat="false" ht="15" hidden="false" customHeight="false" outlineLevel="0" collapsed="false">
      <c r="A646" s="4"/>
      <c r="B646" s="5" t="str">
        <f aca="false">IF(AND(TRIM(A646)&lt;&gt;"",ISNUMBER(FIND(" MT"," "&amp;A646)),LEFT(A646,5)&lt;&gt;"DESC="),MAX(B$2:B645)+1,"")</f>
        <v/>
      </c>
    </row>
    <row r="647" customFormat="false" ht="15" hidden="false" customHeight="false" outlineLevel="0" collapsed="false">
      <c r="A647" s="4"/>
      <c r="B647" s="5" t="str">
        <f aca="false">IF(AND(TRIM(A647)&lt;&gt;"",ISNUMBER(FIND(" MT"," "&amp;A647)),LEFT(A647,5)&lt;&gt;"DESC="),MAX(B$2:B646)+1,"")</f>
        <v/>
      </c>
    </row>
    <row r="648" customFormat="false" ht="15" hidden="false" customHeight="false" outlineLevel="0" collapsed="false">
      <c r="A648" s="4"/>
      <c r="B648" s="5" t="str">
        <f aca="false">IF(AND(TRIM(A648)&lt;&gt;"",ISNUMBER(FIND(" MT"," "&amp;A648)),LEFT(A648,5)&lt;&gt;"DESC="),MAX(B$2:B647)+1,"")</f>
        <v/>
      </c>
    </row>
    <row r="649" customFormat="false" ht="15" hidden="false" customHeight="false" outlineLevel="0" collapsed="false">
      <c r="A649" s="4"/>
      <c r="B649" s="5" t="str">
        <f aca="false">IF(AND(TRIM(A649)&lt;&gt;"",ISNUMBER(FIND(" MT"," "&amp;A649)),LEFT(A649,5)&lt;&gt;"DESC="),MAX(B$2:B648)+1,"")</f>
        <v/>
      </c>
    </row>
    <row r="650" customFormat="false" ht="15" hidden="false" customHeight="false" outlineLevel="0" collapsed="false">
      <c r="A650" s="4"/>
      <c r="B650" s="5" t="str">
        <f aca="false">IF(AND(TRIM(A650)&lt;&gt;"",ISNUMBER(FIND(" MT"," "&amp;A650)),LEFT(A650,5)&lt;&gt;"DESC="),MAX(B$2:B649)+1,"")</f>
        <v/>
      </c>
    </row>
    <row r="651" customFormat="false" ht="15" hidden="false" customHeight="false" outlineLevel="0" collapsed="false">
      <c r="A651" s="4"/>
      <c r="B651" s="5" t="str">
        <f aca="false">IF(AND(TRIM(A651)&lt;&gt;"",ISNUMBER(FIND(" MT"," "&amp;A651)),LEFT(A651,5)&lt;&gt;"DESC="),MAX(B$2:B650)+1,"")</f>
        <v/>
      </c>
    </row>
    <row r="652" customFormat="false" ht="15" hidden="false" customHeight="false" outlineLevel="0" collapsed="false">
      <c r="A652" s="4"/>
      <c r="B652" s="5" t="str">
        <f aca="false">IF(AND(TRIM(A652)&lt;&gt;"",ISNUMBER(FIND(" MT"," "&amp;A652)),LEFT(A652,5)&lt;&gt;"DESC="),MAX(B$2:B651)+1,"")</f>
        <v/>
      </c>
    </row>
    <row r="653" customFormat="false" ht="15" hidden="false" customHeight="false" outlineLevel="0" collapsed="false">
      <c r="A653" s="4"/>
      <c r="B653" s="5" t="str">
        <f aca="false">IF(AND(TRIM(A653)&lt;&gt;"",ISNUMBER(FIND(" MT"," "&amp;A653)),LEFT(A653,5)&lt;&gt;"DESC="),MAX(B$2:B652)+1,"")</f>
        <v/>
      </c>
    </row>
    <row r="654" customFormat="false" ht="15" hidden="false" customHeight="false" outlineLevel="0" collapsed="false">
      <c r="A654" s="4"/>
      <c r="B654" s="5" t="str">
        <f aca="false">IF(AND(TRIM(A654)&lt;&gt;"",ISNUMBER(FIND(" MT"," "&amp;A654)),LEFT(A654,5)&lt;&gt;"DESC="),MAX(B$2:B653)+1,"")</f>
        <v/>
      </c>
    </row>
    <row r="655" customFormat="false" ht="15" hidden="false" customHeight="false" outlineLevel="0" collapsed="false">
      <c r="A655" s="4"/>
      <c r="B655" s="5" t="str">
        <f aca="false">IF(AND(TRIM(A655)&lt;&gt;"",ISNUMBER(FIND(" MT"," "&amp;A655)),LEFT(A655,5)&lt;&gt;"DESC="),MAX(B$2:B654)+1,"")</f>
        <v/>
      </c>
    </row>
    <row r="656" customFormat="false" ht="15" hidden="false" customHeight="false" outlineLevel="0" collapsed="false">
      <c r="A656" s="4"/>
      <c r="B656" s="5" t="str">
        <f aca="false">IF(AND(TRIM(A656)&lt;&gt;"",ISNUMBER(FIND(" MT"," "&amp;A656)),LEFT(A656,5)&lt;&gt;"DESC="),MAX(B$2:B655)+1,"")</f>
        <v/>
      </c>
    </row>
    <row r="657" customFormat="false" ht="15" hidden="false" customHeight="false" outlineLevel="0" collapsed="false">
      <c r="A657" s="4"/>
      <c r="B657" s="5" t="str">
        <f aca="false">IF(AND(TRIM(A657)&lt;&gt;"",ISNUMBER(FIND(" MT"," "&amp;A657)),LEFT(A657,5)&lt;&gt;"DESC="),MAX(B$2:B656)+1,"")</f>
        <v/>
      </c>
    </row>
    <row r="658" customFormat="false" ht="15" hidden="false" customHeight="false" outlineLevel="0" collapsed="false">
      <c r="A658" s="4"/>
      <c r="B658" s="5" t="str">
        <f aca="false">IF(AND(TRIM(A658)&lt;&gt;"",ISNUMBER(FIND(" MT"," "&amp;A658)),LEFT(A658,5)&lt;&gt;"DESC="),MAX(B$2:B657)+1,"")</f>
        <v/>
      </c>
    </row>
    <row r="659" customFormat="false" ht="15" hidden="false" customHeight="false" outlineLevel="0" collapsed="false">
      <c r="A659" s="4"/>
      <c r="B659" s="5" t="str">
        <f aca="false">IF(AND(TRIM(A659)&lt;&gt;"",ISNUMBER(FIND(" MT"," "&amp;A659)),LEFT(A659,5)&lt;&gt;"DESC="),MAX(B$2:B658)+1,"")</f>
        <v/>
      </c>
    </row>
    <row r="660" customFormat="false" ht="15" hidden="false" customHeight="false" outlineLevel="0" collapsed="false">
      <c r="A660" s="4"/>
      <c r="B660" s="5" t="str">
        <f aca="false">IF(AND(TRIM(A660)&lt;&gt;"",ISNUMBER(FIND(" MT"," "&amp;A660)),LEFT(A660,5)&lt;&gt;"DESC="),MAX(B$2:B659)+1,"")</f>
        <v/>
      </c>
    </row>
    <row r="661" customFormat="false" ht="15" hidden="false" customHeight="false" outlineLevel="0" collapsed="false">
      <c r="A661" s="4"/>
      <c r="B661" s="5" t="str">
        <f aca="false">IF(AND(TRIM(A661)&lt;&gt;"",ISNUMBER(FIND(" MT"," "&amp;A661)),LEFT(A661,5)&lt;&gt;"DESC="),MAX(B$2:B660)+1,"")</f>
        <v/>
      </c>
    </row>
    <row r="662" customFormat="false" ht="15" hidden="false" customHeight="false" outlineLevel="0" collapsed="false">
      <c r="A662" s="4"/>
      <c r="B662" s="5" t="str">
        <f aca="false">IF(AND(TRIM(A662)&lt;&gt;"",ISNUMBER(FIND(" MT"," "&amp;A662)),LEFT(A662,5)&lt;&gt;"DESC="),MAX(B$2:B661)+1,"")</f>
        <v/>
      </c>
    </row>
    <row r="663" customFormat="false" ht="15" hidden="false" customHeight="false" outlineLevel="0" collapsed="false">
      <c r="A663" s="4"/>
      <c r="B663" s="5" t="str">
        <f aca="false">IF(AND(TRIM(A663)&lt;&gt;"",ISNUMBER(FIND(" MT"," "&amp;A663)),LEFT(A663,5)&lt;&gt;"DESC="),MAX(B$2:B662)+1,"")</f>
        <v/>
      </c>
    </row>
    <row r="664" customFormat="false" ht="15" hidden="false" customHeight="false" outlineLevel="0" collapsed="false">
      <c r="A664" s="4"/>
      <c r="B664" s="5" t="str">
        <f aca="false">IF(AND(TRIM(A664)&lt;&gt;"",ISNUMBER(FIND(" MT"," "&amp;A664)),LEFT(A664,5)&lt;&gt;"DESC="),MAX(B$2:B663)+1,"")</f>
        <v/>
      </c>
    </row>
    <row r="665" customFormat="false" ht="15" hidden="false" customHeight="false" outlineLevel="0" collapsed="false">
      <c r="A665" s="4"/>
      <c r="B665" s="5" t="str">
        <f aca="false">IF(AND(TRIM(A665)&lt;&gt;"",ISNUMBER(FIND(" MT"," "&amp;A665)),LEFT(A665,5)&lt;&gt;"DESC="),MAX(B$2:B664)+1,"")</f>
        <v/>
      </c>
    </row>
    <row r="666" customFormat="false" ht="15" hidden="false" customHeight="false" outlineLevel="0" collapsed="false">
      <c r="A666" s="4"/>
      <c r="B666" s="5" t="str">
        <f aca="false">IF(AND(TRIM(A666)&lt;&gt;"",ISNUMBER(FIND(" MT"," "&amp;A666)),LEFT(A666,5)&lt;&gt;"DESC="),MAX(B$2:B665)+1,"")</f>
        <v/>
      </c>
    </row>
    <row r="667" customFormat="false" ht="15" hidden="false" customHeight="false" outlineLevel="0" collapsed="false">
      <c r="A667" s="4"/>
      <c r="B667" s="5" t="str">
        <f aca="false">IF(AND(TRIM(A667)&lt;&gt;"",ISNUMBER(FIND(" MT"," "&amp;A667)),LEFT(A667,5)&lt;&gt;"DESC="),MAX(B$2:B666)+1,"")</f>
        <v/>
      </c>
    </row>
    <row r="668" customFormat="false" ht="15" hidden="false" customHeight="false" outlineLevel="0" collapsed="false">
      <c r="A668" s="4"/>
      <c r="B668" s="5" t="str">
        <f aca="false">IF(AND(TRIM(A668)&lt;&gt;"",ISNUMBER(FIND(" MT"," "&amp;A668)),LEFT(A668,5)&lt;&gt;"DESC="),MAX(B$2:B667)+1,"")</f>
        <v/>
      </c>
    </row>
    <row r="669" customFormat="false" ht="15" hidden="false" customHeight="false" outlineLevel="0" collapsed="false">
      <c r="A669" s="4"/>
      <c r="B669" s="5" t="str">
        <f aca="false">IF(AND(TRIM(A669)&lt;&gt;"",ISNUMBER(FIND(" MT"," "&amp;A669)),LEFT(A669,5)&lt;&gt;"DESC="),MAX(B$2:B668)+1,"")</f>
        <v/>
      </c>
    </row>
    <row r="670" customFormat="false" ht="15" hidden="false" customHeight="false" outlineLevel="0" collapsed="false">
      <c r="A670" s="4"/>
      <c r="B670" s="5" t="str">
        <f aca="false">IF(AND(TRIM(A670)&lt;&gt;"",ISNUMBER(FIND(" MT"," "&amp;A670)),LEFT(A670,5)&lt;&gt;"DESC="),MAX(B$2:B669)+1,"")</f>
        <v/>
      </c>
    </row>
    <row r="671" customFormat="false" ht="15" hidden="false" customHeight="false" outlineLevel="0" collapsed="false">
      <c r="A671" s="4"/>
      <c r="B671" s="5" t="str">
        <f aca="false">IF(AND(TRIM(A671)&lt;&gt;"",ISNUMBER(FIND(" MT"," "&amp;A671)),LEFT(A671,5)&lt;&gt;"DESC="),MAX(B$2:B670)+1,"")</f>
        <v/>
      </c>
    </row>
    <row r="672" customFormat="false" ht="15" hidden="false" customHeight="false" outlineLevel="0" collapsed="false">
      <c r="A672" s="4"/>
      <c r="B672" s="5" t="str">
        <f aca="false">IF(AND(TRIM(A672)&lt;&gt;"",ISNUMBER(FIND(" MT"," "&amp;A672)),LEFT(A672,5)&lt;&gt;"DESC="),MAX(B$2:B671)+1,"")</f>
        <v/>
      </c>
    </row>
    <row r="673" customFormat="false" ht="15" hidden="false" customHeight="false" outlineLevel="0" collapsed="false">
      <c r="A673" s="4"/>
      <c r="B673" s="5" t="str">
        <f aca="false">IF(AND(TRIM(A673)&lt;&gt;"",ISNUMBER(FIND(" MT"," "&amp;A673)),LEFT(A673,5)&lt;&gt;"DESC="),MAX(B$2:B672)+1,"")</f>
        <v/>
      </c>
    </row>
    <row r="674" customFormat="false" ht="15" hidden="false" customHeight="false" outlineLevel="0" collapsed="false">
      <c r="A674" s="4"/>
      <c r="B674" s="5" t="str">
        <f aca="false">IF(AND(TRIM(A674)&lt;&gt;"",ISNUMBER(FIND(" MT"," "&amp;A674)),LEFT(A674,5)&lt;&gt;"DESC="),MAX(B$2:B673)+1,"")</f>
        <v/>
      </c>
    </row>
    <row r="675" customFormat="false" ht="15" hidden="false" customHeight="false" outlineLevel="0" collapsed="false">
      <c r="A675" s="4"/>
      <c r="B675" s="5" t="str">
        <f aca="false">IF(AND(TRIM(A675)&lt;&gt;"",ISNUMBER(FIND(" MT"," "&amp;A675)),LEFT(A675,5)&lt;&gt;"DESC="),MAX(B$2:B674)+1,"")</f>
        <v/>
      </c>
    </row>
    <row r="676" customFormat="false" ht="15" hidden="false" customHeight="false" outlineLevel="0" collapsed="false">
      <c r="A676" s="4"/>
      <c r="B676" s="5" t="str">
        <f aca="false">IF(AND(TRIM(A676)&lt;&gt;"",ISNUMBER(FIND(" MT"," "&amp;A676)),LEFT(A676,5)&lt;&gt;"DESC="),MAX(B$2:B675)+1,"")</f>
        <v/>
      </c>
    </row>
    <row r="677" customFormat="false" ht="15" hidden="false" customHeight="false" outlineLevel="0" collapsed="false">
      <c r="A677" s="4"/>
      <c r="B677" s="5" t="str">
        <f aca="false">IF(AND(TRIM(A677)&lt;&gt;"",ISNUMBER(FIND(" MT"," "&amp;A677)),LEFT(A677,5)&lt;&gt;"DESC="),MAX(B$2:B676)+1,"")</f>
        <v/>
      </c>
    </row>
    <row r="678" customFormat="false" ht="15" hidden="false" customHeight="false" outlineLevel="0" collapsed="false">
      <c r="A678" s="4"/>
      <c r="B678" s="5" t="str">
        <f aca="false">IF(AND(TRIM(A678)&lt;&gt;"",ISNUMBER(FIND(" MT"," "&amp;A678)),LEFT(A678,5)&lt;&gt;"DESC="),MAX(B$2:B677)+1,"")</f>
        <v/>
      </c>
    </row>
    <row r="679" customFormat="false" ht="15" hidden="false" customHeight="false" outlineLevel="0" collapsed="false">
      <c r="A679" s="4"/>
      <c r="B679" s="5" t="str">
        <f aca="false">IF(AND(TRIM(A679)&lt;&gt;"",ISNUMBER(FIND(" MT"," "&amp;A679)),LEFT(A679,5)&lt;&gt;"DESC="),MAX(B$2:B678)+1,"")</f>
        <v/>
      </c>
    </row>
    <row r="680" customFormat="false" ht="15" hidden="false" customHeight="false" outlineLevel="0" collapsed="false">
      <c r="A680" s="4"/>
      <c r="B680" s="5" t="str">
        <f aca="false">IF(AND(TRIM(A680)&lt;&gt;"",ISNUMBER(FIND(" MT"," "&amp;A680)),LEFT(A680,5)&lt;&gt;"DESC="),MAX(B$2:B679)+1,"")</f>
        <v/>
      </c>
    </row>
    <row r="681" customFormat="false" ht="15" hidden="false" customHeight="false" outlineLevel="0" collapsed="false">
      <c r="A681" s="4"/>
      <c r="B681" s="5" t="str">
        <f aca="false">IF(AND(TRIM(A681)&lt;&gt;"",ISNUMBER(FIND(" MT"," "&amp;A681)),LEFT(A681,5)&lt;&gt;"DESC="),MAX(B$2:B680)+1,"")</f>
        <v/>
      </c>
    </row>
    <row r="682" customFormat="false" ht="15" hidden="false" customHeight="false" outlineLevel="0" collapsed="false">
      <c r="A682" s="4"/>
      <c r="B682" s="5" t="str">
        <f aca="false">IF(AND(TRIM(A682)&lt;&gt;"",ISNUMBER(FIND(" MT"," "&amp;A682)),LEFT(A682,5)&lt;&gt;"DESC="),MAX(B$2:B681)+1,"")</f>
        <v/>
      </c>
    </row>
    <row r="683" customFormat="false" ht="15" hidden="false" customHeight="false" outlineLevel="0" collapsed="false">
      <c r="A683" s="4"/>
      <c r="B683" s="5" t="str">
        <f aca="false">IF(AND(TRIM(A683)&lt;&gt;"",ISNUMBER(FIND(" MT"," "&amp;A683)),LEFT(A683,5)&lt;&gt;"DESC="),MAX(B$2:B682)+1,"")</f>
        <v/>
      </c>
    </row>
    <row r="684" customFormat="false" ht="15" hidden="false" customHeight="false" outlineLevel="0" collapsed="false">
      <c r="A684" s="4"/>
      <c r="B684" s="5" t="str">
        <f aca="false">IF(AND(TRIM(A684)&lt;&gt;"",ISNUMBER(FIND(" MT"," "&amp;A684)),LEFT(A684,5)&lt;&gt;"DESC="),MAX(B$2:B683)+1,"")</f>
        <v/>
      </c>
    </row>
    <row r="685" customFormat="false" ht="15" hidden="false" customHeight="false" outlineLevel="0" collapsed="false">
      <c r="A685" s="4"/>
      <c r="B685" s="5" t="str">
        <f aca="false">IF(AND(TRIM(A685)&lt;&gt;"",ISNUMBER(FIND(" MT"," "&amp;A685)),LEFT(A685,5)&lt;&gt;"DESC="),MAX(B$2:B684)+1,"")</f>
        <v/>
      </c>
    </row>
    <row r="686" customFormat="false" ht="15" hidden="false" customHeight="false" outlineLevel="0" collapsed="false">
      <c r="A686" s="4"/>
      <c r="B686" s="5" t="str">
        <f aca="false">IF(AND(TRIM(A686)&lt;&gt;"",ISNUMBER(FIND(" MT"," "&amp;A686)),LEFT(A686,5)&lt;&gt;"DESC="),MAX(B$2:B685)+1,"")</f>
        <v/>
      </c>
    </row>
    <row r="687" customFormat="false" ht="15" hidden="false" customHeight="false" outlineLevel="0" collapsed="false">
      <c r="A687" s="4"/>
      <c r="B687" s="5" t="str">
        <f aca="false">IF(AND(TRIM(A687)&lt;&gt;"",ISNUMBER(FIND(" MT"," "&amp;A687)),LEFT(A687,5)&lt;&gt;"DESC="),MAX(B$2:B686)+1,"")</f>
        <v/>
      </c>
    </row>
    <row r="688" customFormat="false" ht="15" hidden="false" customHeight="false" outlineLevel="0" collapsed="false">
      <c r="A688" s="4"/>
      <c r="B688" s="5" t="str">
        <f aca="false">IF(AND(TRIM(A688)&lt;&gt;"",ISNUMBER(FIND(" MT"," "&amp;A688)),LEFT(A688,5)&lt;&gt;"DESC="),MAX(B$2:B687)+1,"")</f>
        <v/>
      </c>
    </row>
    <row r="689" customFormat="false" ht="15" hidden="false" customHeight="false" outlineLevel="0" collapsed="false">
      <c r="A689" s="4"/>
      <c r="B689" s="5" t="str">
        <f aca="false">IF(AND(TRIM(A689)&lt;&gt;"",ISNUMBER(FIND(" MT"," "&amp;A689)),LEFT(A689,5)&lt;&gt;"DESC="),MAX(B$2:B688)+1,"")</f>
        <v/>
      </c>
    </row>
    <row r="690" customFormat="false" ht="15" hidden="false" customHeight="false" outlineLevel="0" collapsed="false">
      <c r="A690" s="4"/>
      <c r="B690" s="5" t="str">
        <f aca="false">IF(AND(TRIM(A690)&lt;&gt;"",ISNUMBER(FIND(" MT"," "&amp;A690)),LEFT(A690,5)&lt;&gt;"DESC="),MAX(B$2:B689)+1,"")</f>
        <v/>
      </c>
    </row>
    <row r="691" customFormat="false" ht="15" hidden="false" customHeight="false" outlineLevel="0" collapsed="false">
      <c r="A691" s="4"/>
      <c r="B691" s="5" t="str">
        <f aca="false">IF(AND(TRIM(A691)&lt;&gt;"",ISNUMBER(FIND(" MT"," "&amp;A691)),LEFT(A691,5)&lt;&gt;"DESC="),MAX(B$2:B690)+1,"")</f>
        <v/>
      </c>
    </row>
    <row r="692" customFormat="false" ht="15" hidden="false" customHeight="false" outlineLevel="0" collapsed="false">
      <c r="A692" s="4"/>
      <c r="B692" s="5" t="str">
        <f aca="false">IF(AND(TRIM(A692)&lt;&gt;"",ISNUMBER(FIND(" MT"," "&amp;A692)),LEFT(A692,5)&lt;&gt;"DESC="),MAX(B$2:B691)+1,"")</f>
        <v/>
      </c>
    </row>
    <row r="693" customFormat="false" ht="15" hidden="false" customHeight="false" outlineLevel="0" collapsed="false">
      <c r="A693" s="4"/>
      <c r="B693" s="5" t="str">
        <f aca="false">IF(AND(TRIM(A693)&lt;&gt;"",ISNUMBER(FIND(" MT"," "&amp;A693)),LEFT(A693,5)&lt;&gt;"DESC="),MAX(B$2:B692)+1,"")</f>
        <v/>
      </c>
    </row>
    <row r="694" customFormat="false" ht="15" hidden="false" customHeight="false" outlineLevel="0" collapsed="false">
      <c r="A694" s="4"/>
      <c r="B694" s="5" t="str">
        <f aca="false">IF(AND(TRIM(A694)&lt;&gt;"",ISNUMBER(FIND(" MT"," "&amp;A694)),LEFT(A694,5)&lt;&gt;"DESC="),MAX(B$2:B693)+1,"")</f>
        <v/>
      </c>
    </row>
    <row r="695" customFormat="false" ht="15" hidden="false" customHeight="false" outlineLevel="0" collapsed="false">
      <c r="A695" s="4"/>
      <c r="B695" s="5" t="str">
        <f aca="false">IF(AND(TRIM(A695)&lt;&gt;"",ISNUMBER(FIND(" MT"," "&amp;A695)),LEFT(A695,5)&lt;&gt;"DESC="),MAX(B$2:B694)+1,"")</f>
        <v/>
      </c>
    </row>
    <row r="696" customFormat="false" ht="15" hidden="false" customHeight="false" outlineLevel="0" collapsed="false">
      <c r="A696" s="4"/>
      <c r="B696" s="5" t="str">
        <f aca="false">IF(AND(TRIM(A696)&lt;&gt;"",ISNUMBER(FIND(" MT"," "&amp;A696)),LEFT(A696,5)&lt;&gt;"DESC="),MAX(B$2:B695)+1,"")</f>
        <v/>
      </c>
    </row>
    <row r="697" customFormat="false" ht="15" hidden="false" customHeight="false" outlineLevel="0" collapsed="false">
      <c r="A697" s="4"/>
      <c r="B697" s="5" t="str">
        <f aca="false">IF(AND(TRIM(A697)&lt;&gt;"",ISNUMBER(FIND(" MT"," "&amp;A697)),LEFT(A697,5)&lt;&gt;"DESC="),MAX(B$2:B696)+1,"")</f>
        <v/>
      </c>
    </row>
    <row r="698" customFormat="false" ht="15" hidden="false" customHeight="false" outlineLevel="0" collapsed="false">
      <c r="A698" s="4"/>
      <c r="B698" s="5" t="str">
        <f aca="false">IF(AND(TRIM(A698)&lt;&gt;"",ISNUMBER(FIND(" MT"," "&amp;A698)),LEFT(A698,5)&lt;&gt;"DESC="),MAX(B$2:B697)+1,"")</f>
        <v/>
      </c>
    </row>
    <row r="699" customFormat="false" ht="15" hidden="false" customHeight="false" outlineLevel="0" collapsed="false">
      <c r="A699" s="4"/>
      <c r="B699" s="5" t="str">
        <f aca="false">IF(AND(TRIM(A699)&lt;&gt;"",ISNUMBER(FIND(" MT"," "&amp;A699)),LEFT(A699,5)&lt;&gt;"DESC="),MAX(B$2:B698)+1,"")</f>
        <v/>
      </c>
    </row>
    <row r="700" customFormat="false" ht="15" hidden="false" customHeight="false" outlineLevel="0" collapsed="false">
      <c r="A700" s="4"/>
      <c r="B700" s="5" t="str">
        <f aca="false">IF(AND(TRIM(A700)&lt;&gt;"",ISNUMBER(FIND(" MT"," "&amp;A700)),LEFT(A700,5)&lt;&gt;"DESC="),MAX(B$2:B699)+1,"")</f>
        <v/>
      </c>
    </row>
    <row r="701" customFormat="false" ht="15" hidden="false" customHeight="false" outlineLevel="0" collapsed="false">
      <c r="A701" s="4"/>
      <c r="B701" s="5" t="str">
        <f aca="false">IF(AND(TRIM(A701)&lt;&gt;"",ISNUMBER(FIND(" MT"," "&amp;A701)),LEFT(A701,5)&lt;&gt;"DESC="),MAX(B$2:B700)+1,"")</f>
        <v/>
      </c>
    </row>
    <row r="702" customFormat="false" ht="15" hidden="false" customHeight="false" outlineLevel="0" collapsed="false">
      <c r="A702" s="4"/>
      <c r="B702" s="5" t="str">
        <f aca="false">IF(AND(TRIM(A702)&lt;&gt;"",ISNUMBER(FIND(" MT"," "&amp;A702)),LEFT(A702,5)&lt;&gt;"DESC="),MAX(B$2:B701)+1,"")</f>
        <v/>
      </c>
    </row>
    <row r="703" customFormat="false" ht="15" hidden="false" customHeight="false" outlineLevel="0" collapsed="false">
      <c r="A703" s="4"/>
      <c r="B703" s="5" t="str">
        <f aca="false">IF(AND(TRIM(A703)&lt;&gt;"",ISNUMBER(FIND(" MT"," "&amp;A703)),LEFT(A703,5)&lt;&gt;"DESC="),MAX(B$2:B702)+1,"")</f>
        <v/>
      </c>
    </row>
    <row r="704" customFormat="false" ht="15" hidden="false" customHeight="false" outlineLevel="0" collapsed="false">
      <c r="A704" s="4"/>
      <c r="B704" s="5" t="str">
        <f aca="false">IF(AND(TRIM(A704)&lt;&gt;"",ISNUMBER(FIND(" MT"," "&amp;A704)),LEFT(A704,5)&lt;&gt;"DESC="),MAX(B$2:B703)+1,"")</f>
        <v/>
      </c>
    </row>
    <row r="705" customFormat="false" ht="15" hidden="false" customHeight="false" outlineLevel="0" collapsed="false">
      <c r="A705" s="4"/>
      <c r="B705" s="5" t="str">
        <f aca="false">IF(AND(TRIM(A705)&lt;&gt;"",ISNUMBER(FIND(" MT"," "&amp;A705)),LEFT(A705,5)&lt;&gt;"DESC="),MAX(B$2:B704)+1,"")</f>
        <v/>
      </c>
    </row>
    <row r="706" customFormat="false" ht="15" hidden="false" customHeight="false" outlineLevel="0" collapsed="false">
      <c r="A706" s="4"/>
      <c r="B706" s="5" t="str">
        <f aca="false">IF(AND(TRIM(A706)&lt;&gt;"",ISNUMBER(FIND(" MT"," "&amp;A706)),LEFT(A706,5)&lt;&gt;"DESC="),MAX(B$2:B705)+1,"")</f>
        <v/>
      </c>
    </row>
    <row r="707" customFormat="false" ht="15" hidden="false" customHeight="false" outlineLevel="0" collapsed="false">
      <c r="A707" s="4"/>
      <c r="B707" s="5" t="str">
        <f aca="false">IF(AND(TRIM(A707)&lt;&gt;"",ISNUMBER(FIND(" MT"," "&amp;A707)),LEFT(A707,5)&lt;&gt;"DESC="),MAX(B$2:B706)+1,"")</f>
        <v/>
      </c>
    </row>
    <row r="708" customFormat="false" ht="15" hidden="false" customHeight="false" outlineLevel="0" collapsed="false">
      <c r="A708" s="4"/>
      <c r="B708" s="5" t="str">
        <f aca="false">IF(AND(TRIM(A708)&lt;&gt;"",ISNUMBER(FIND(" MT"," "&amp;A708)),LEFT(A708,5)&lt;&gt;"DESC="),MAX(B$2:B707)+1,"")</f>
        <v/>
      </c>
    </row>
    <row r="709" customFormat="false" ht="15" hidden="false" customHeight="false" outlineLevel="0" collapsed="false">
      <c r="A709" s="4"/>
      <c r="B709" s="5" t="str">
        <f aca="false">IF(AND(TRIM(A709)&lt;&gt;"",ISNUMBER(FIND(" MT"," "&amp;A709)),LEFT(A709,5)&lt;&gt;"DESC="),MAX(B$2:B708)+1,"")</f>
        <v/>
      </c>
    </row>
    <row r="710" customFormat="false" ht="15" hidden="false" customHeight="false" outlineLevel="0" collapsed="false">
      <c r="A710" s="4"/>
      <c r="B710" s="5" t="str">
        <f aca="false">IF(AND(TRIM(A710)&lt;&gt;"",ISNUMBER(FIND(" MT"," "&amp;A710)),LEFT(A710,5)&lt;&gt;"DESC="),MAX(B$2:B709)+1,"")</f>
        <v/>
      </c>
    </row>
    <row r="711" customFormat="false" ht="15" hidden="false" customHeight="false" outlineLevel="0" collapsed="false">
      <c r="A711" s="4"/>
      <c r="B711" s="5" t="str">
        <f aca="false">IF(AND(TRIM(A711)&lt;&gt;"",ISNUMBER(FIND(" MT"," "&amp;A711)),LEFT(A711,5)&lt;&gt;"DESC="),MAX(B$2:B710)+1,"")</f>
        <v/>
      </c>
    </row>
    <row r="712" customFormat="false" ht="15" hidden="false" customHeight="false" outlineLevel="0" collapsed="false">
      <c r="A712" s="4"/>
      <c r="B712" s="5" t="str">
        <f aca="false">IF(AND(TRIM(A712)&lt;&gt;"",ISNUMBER(FIND(" MT"," "&amp;A712)),LEFT(A712,5)&lt;&gt;"DESC="),MAX(B$2:B711)+1,"")</f>
        <v/>
      </c>
    </row>
    <row r="713" customFormat="false" ht="15" hidden="false" customHeight="false" outlineLevel="0" collapsed="false">
      <c r="A713" s="4"/>
      <c r="B713" s="5" t="str">
        <f aca="false">IF(AND(TRIM(A713)&lt;&gt;"",ISNUMBER(FIND(" MT"," "&amp;A713)),LEFT(A713,5)&lt;&gt;"DESC="),MAX(B$2:B712)+1,"")</f>
        <v/>
      </c>
    </row>
    <row r="714" customFormat="false" ht="15" hidden="false" customHeight="false" outlineLevel="0" collapsed="false">
      <c r="A714" s="4"/>
      <c r="B714" s="5" t="str">
        <f aca="false">IF(AND(TRIM(A714)&lt;&gt;"",ISNUMBER(FIND(" MT"," "&amp;A714)),LEFT(A714,5)&lt;&gt;"DESC="),MAX(B$2:B713)+1,"")</f>
        <v/>
      </c>
    </row>
    <row r="715" customFormat="false" ht="15" hidden="false" customHeight="false" outlineLevel="0" collapsed="false">
      <c r="A715" s="4"/>
      <c r="B715" s="5" t="str">
        <f aca="false">IF(AND(TRIM(A715)&lt;&gt;"",ISNUMBER(FIND(" MT"," "&amp;A715)),LEFT(A715,5)&lt;&gt;"DESC="),MAX(B$2:B714)+1,"")</f>
        <v/>
      </c>
    </row>
    <row r="716" customFormat="false" ht="15" hidden="false" customHeight="false" outlineLevel="0" collapsed="false">
      <c r="A716" s="4"/>
      <c r="B716" s="5" t="str">
        <f aca="false">IF(AND(TRIM(A716)&lt;&gt;"",ISNUMBER(FIND(" MT"," "&amp;A716)),LEFT(A716,5)&lt;&gt;"DESC="),MAX(B$2:B715)+1,"")</f>
        <v/>
      </c>
    </row>
    <row r="717" customFormat="false" ht="15" hidden="false" customHeight="false" outlineLevel="0" collapsed="false">
      <c r="A717" s="4"/>
      <c r="B717" s="5" t="str">
        <f aca="false">IF(AND(TRIM(A717)&lt;&gt;"",ISNUMBER(FIND(" MT"," "&amp;A717)),LEFT(A717,5)&lt;&gt;"DESC="),MAX(B$2:B716)+1,"")</f>
        <v/>
      </c>
    </row>
    <row r="718" customFormat="false" ht="15" hidden="false" customHeight="false" outlineLevel="0" collapsed="false">
      <c r="A718" s="4"/>
      <c r="B718" s="5" t="str">
        <f aca="false">IF(AND(TRIM(A718)&lt;&gt;"",ISNUMBER(FIND(" MT"," "&amp;A718)),LEFT(A718,5)&lt;&gt;"DESC="),MAX(B$2:B717)+1,"")</f>
        <v/>
      </c>
    </row>
    <row r="719" customFormat="false" ht="15" hidden="false" customHeight="false" outlineLevel="0" collapsed="false">
      <c r="A719" s="4"/>
      <c r="B719" s="5" t="str">
        <f aca="false">IF(AND(TRIM(A719)&lt;&gt;"",ISNUMBER(FIND(" MT"," "&amp;A719)),LEFT(A719,5)&lt;&gt;"DESC="),MAX(B$2:B718)+1,"")</f>
        <v/>
      </c>
    </row>
    <row r="720" customFormat="false" ht="15" hidden="false" customHeight="false" outlineLevel="0" collapsed="false">
      <c r="A720" s="4"/>
      <c r="B720" s="5" t="str">
        <f aca="false">IF(AND(TRIM(A720)&lt;&gt;"",ISNUMBER(FIND(" MT"," "&amp;A720)),LEFT(A720,5)&lt;&gt;"DESC="),MAX(B$2:B719)+1,"")</f>
        <v/>
      </c>
    </row>
    <row r="721" customFormat="false" ht="15" hidden="false" customHeight="false" outlineLevel="0" collapsed="false">
      <c r="A721" s="4"/>
      <c r="B721" s="5" t="str">
        <f aca="false">IF(AND(TRIM(A721)&lt;&gt;"",ISNUMBER(FIND(" MT"," "&amp;A721)),LEFT(A721,5)&lt;&gt;"DESC="),MAX(B$2:B720)+1,"")</f>
        <v/>
      </c>
    </row>
    <row r="722" customFormat="false" ht="15" hidden="false" customHeight="false" outlineLevel="0" collapsed="false">
      <c r="A722" s="4"/>
      <c r="B722" s="5" t="str">
        <f aca="false">IF(AND(TRIM(A722)&lt;&gt;"",ISNUMBER(FIND(" MT"," "&amp;A722)),LEFT(A722,5)&lt;&gt;"DESC="),MAX(B$2:B721)+1,"")</f>
        <v/>
      </c>
    </row>
    <row r="723" customFormat="false" ht="15" hidden="false" customHeight="false" outlineLevel="0" collapsed="false">
      <c r="A723" s="4"/>
      <c r="B723" s="5" t="str">
        <f aca="false">IF(AND(TRIM(A723)&lt;&gt;"",ISNUMBER(FIND(" MT"," "&amp;A723)),LEFT(A723,5)&lt;&gt;"DESC="),MAX(B$2:B722)+1,"")</f>
        <v/>
      </c>
    </row>
    <row r="724" customFormat="false" ht="15" hidden="false" customHeight="false" outlineLevel="0" collapsed="false">
      <c r="A724" s="4"/>
      <c r="B724" s="5" t="str">
        <f aca="false">IF(AND(TRIM(A724)&lt;&gt;"",ISNUMBER(FIND(" MT"," "&amp;A724)),LEFT(A724,5)&lt;&gt;"DESC="),MAX(B$2:B723)+1,"")</f>
        <v/>
      </c>
    </row>
    <row r="725" customFormat="false" ht="15" hidden="false" customHeight="false" outlineLevel="0" collapsed="false">
      <c r="A725" s="4"/>
      <c r="B725" s="5" t="str">
        <f aca="false">IF(AND(TRIM(A725)&lt;&gt;"",ISNUMBER(FIND(" MT"," "&amp;A725)),LEFT(A725,5)&lt;&gt;"DESC="),MAX(B$2:B724)+1,"")</f>
        <v/>
      </c>
    </row>
    <row r="726" customFormat="false" ht="15" hidden="false" customHeight="false" outlineLevel="0" collapsed="false">
      <c r="A726" s="4"/>
      <c r="B726" s="5" t="str">
        <f aca="false">IF(AND(TRIM(A726)&lt;&gt;"",ISNUMBER(FIND(" MT"," "&amp;A726)),LEFT(A726,5)&lt;&gt;"DESC="),MAX(B$2:B725)+1,"")</f>
        <v/>
      </c>
    </row>
    <row r="727" customFormat="false" ht="15" hidden="false" customHeight="false" outlineLevel="0" collapsed="false">
      <c r="A727" s="4"/>
      <c r="B727" s="5" t="str">
        <f aca="false">IF(AND(TRIM(A727)&lt;&gt;"",ISNUMBER(FIND(" MT"," "&amp;A727)),LEFT(A727,5)&lt;&gt;"DESC="),MAX(B$2:B726)+1,"")</f>
        <v/>
      </c>
    </row>
    <row r="728" customFormat="false" ht="15" hidden="false" customHeight="false" outlineLevel="0" collapsed="false">
      <c r="A728" s="4"/>
      <c r="B728" s="5" t="str">
        <f aca="false">IF(AND(TRIM(A728)&lt;&gt;"",ISNUMBER(FIND(" MT"," "&amp;A728)),LEFT(A728,5)&lt;&gt;"DESC="),MAX(B$2:B727)+1,"")</f>
        <v/>
      </c>
    </row>
    <row r="729" customFormat="false" ht="15" hidden="false" customHeight="false" outlineLevel="0" collapsed="false">
      <c r="A729" s="4"/>
      <c r="B729" s="5" t="str">
        <f aca="false">IF(AND(TRIM(A729)&lt;&gt;"",ISNUMBER(FIND(" MT"," "&amp;A729)),LEFT(A729,5)&lt;&gt;"DESC="),MAX(B$2:B728)+1,"")</f>
        <v/>
      </c>
    </row>
    <row r="730" customFormat="false" ht="15" hidden="false" customHeight="false" outlineLevel="0" collapsed="false">
      <c r="A730" s="4"/>
      <c r="B730" s="5" t="str">
        <f aca="false">IF(AND(TRIM(A730)&lt;&gt;"",ISNUMBER(FIND(" MT"," "&amp;A730)),LEFT(A730,5)&lt;&gt;"DESC="),MAX(B$2:B729)+1,"")</f>
        <v/>
      </c>
    </row>
    <row r="731" customFormat="false" ht="15" hidden="false" customHeight="false" outlineLevel="0" collapsed="false">
      <c r="A731" s="4"/>
      <c r="B731" s="5" t="str">
        <f aca="false">IF(AND(TRIM(A731)&lt;&gt;"",ISNUMBER(FIND(" MT"," "&amp;A731)),LEFT(A731,5)&lt;&gt;"DESC="),MAX(B$2:B730)+1,"")</f>
        <v/>
      </c>
    </row>
    <row r="732" customFormat="false" ht="15" hidden="false" customHeight="false" outlineLevel="0" collapsed="false">
      <c r="A732" s="4"/>
      <c r="B732" s="5" t="str">
        <f aca="false">IF(AND(TRIM(A732)&lt;&gt;"",ISNUMBER(FIND(" MT"," "&amp;A732)),LEFT(A732,5)&lt;&gt;"DESC="),MAX(B$2:B731)+1,"")</f>
        <v/>
      </c>
    </row>
    <row r="733" customFormat="false" ht="15" hidden="false" customHeight="false" outlineLevel="0" collapsed="false">
      <c r="A733" s="4"/>
      <c r="B733" s="5" t="str">
        <f aca="false">IF(AND(TRIM(A733)&lt;&gt;"",ISNUMBER(FIND(" MT"," "&amp;A733)),LEFT(A733,5)&lt;&gt;"DESC="),MAX(B$2:B732)+1,"")</f>
        <v/>
      </c>
    </row>
    <row r="734" customFormat="false" ht="15" hidden="false" customHeight="false" outlineLevel="0" collapsed="false">
      <c r="A734" s="4"/>
      <c r="B734" s="5" t="str">
        <f aca="false">IF(AND(TRIM(A734)&lt;&gt;"",ISNUMBER(FIND(" MT"," "&amp;A734)),LEFT(A734,5)&lt;&gt;"DESC="),MAX(B$2:B733)+1,"")</f>
        <v/>
      </c>
    </row>
    <row r="735" customFormat="false" ht="15" hidden="false" customHeight="false" outlineLevel="0" collapsed="false">
      <c r="A735" s="4"/>
      <c r="B735" s="5" t="str">
        <f aca="false">IF(AND(TRIM(A735)&lt;&gt;"",ISNUMBER(FIND(" MT"," "&amp;A735)),LEFT(A735,5)&lt;&gt;"DESC="),MAX(B$2:B734)+1,"")</f>
        <v/>
      </c>
    </row>
    <row r="736" customFormat="false" ht="15" hidden="false" customHeight="false" outlineLevel="0" collapsed="false">
      <c r="A736" s="4"/>
      <c r="B736" s="5" t="str">
        <f aca="false">IF(AND(TRIM(A736)&lt;&gt;"",ISNUMBER(FIND(" MT"," "&amp;A736)),LEFT(A736,5)&lt;&gt;"DESC="),MAX(B$2:B735)+1,"")</f>
        <v/>
      </c>
    </row>
    <row r="737" customFormat="false" ht="15" hidden="false" customHeight="false" outlineLevel="0" collapsed="false">
      <c r="A737" s="4"/>
      <c r="B737" s="5" t="str">
        <f aca="false">IF(AND(TRIM(A737)&lt;&gt;"",ISNUMBER(FIND(" MT"," "&amp;A737)),LEFT(A737,5)&lt;&gt;"DESC="),MAX(B$2:B736)+1,"")</f>
        <v/>
      </c>
    </row>
    <row r="738" customFormat="false" ht="15" hidden="false" customHeight="false" outlineLevel="0" collapsed="false">
      <c r="A738" s="4"/>
      <c r="B738" s="5" t="str">
        <f aca="false">IF(AND(TRIM(A738)&lt;&gt;"",ISNUMBER(FIND(" MT"," "&amp;A738)),LEFT(A738,5)&lt;&gt;"DESC="),MAX(B$2:B737)+1,"")</f>
        <v/>
      </c>
    </row>
    <row r="739" customFormat="false" ht="15" hidden="false" customHeight="false" outlineLevel="0" collapsed="false">
      <c r="A739" s="4"/>
      <c r="B739" s="5" t="str">
        <f aca="false">IF(AND(TRIM(A739)&lt;&gt;"",ISNUMBER(FIND(" MT"," "&amp;A739)),LEFT(A739,5)&lt;&gt;"DESC="),MAX(B$2:B738)+1,"")</f>
        <v/>
      </c>
    </row>
    <row r="740" customFormat="false" ht="15" hidden="false" customHeight="false" outlineLevel="0" collapsed="false">
      <c r="A740" s="4"/>
      <c r="B740" s="5" t="str">
        <f aca="false">IF(AND(TRIM(A740)&lt;&gt;"",ISNUMBER(FIND(" MT"," "&amp;A740)),LEFT(A740,5)&lt;&gt;"DESC="),MAX(B$2:B739)+1,"")</f>
        <v/>
      </c>
    </row>
    <row r="741" customFormat="false" ht="15" hidden="false" customHeight="false" outlineLevel="0" collapsed="false">
      <c r="A741" s="4"/>
      <c r="B741" s="5" t="str">
        <f aca="false">IF(AND(TRIM(A741)&lt;&gt;"",ISNUMBER(FIND(" MT"," "&amp;A741)),LEFT(A741,5)&lt;&gt;"DESC="),MAX(B$2:B740)+1,"")</f>
        <v/>
      </c>
    </row>
    <row r="742" customFormat="false" ht="15" hidden="false" customHeight="false" outlineLevel="0" collapsed="false">
      <c r="A742" s="4"/>
      <c r="B742" s="5" t="str">
        <f aca="false">IF(AND(TRIM(A742)&lt;&gt;"",ISNUMBER(FIND(" MT"," "&amp;A742)),LEFT(A742,5)&lt;&gt;"DESC="),MAX(B$2:B741)+1,"")</f>
        <v/>
      </c>
    </row>
    <row r="743" customFormat="false" ht="15" hidden="false" customHeight="false" outlineLevel="0" collapsed="false">
      <c r="A743" s="4"/>
      <c r="B743" s="5" t="str">
        <f aca="false">IF(AND(TRIM(A743)&lt;&gt;"",ISNUMBER(FIND(" MT"," "&amp;A743)),LEFT(A743,5)&lt;&gt;"DESC="),MAX(B$2:B742)+1,"")</f>
        <v/>
      </c>
    </row>
    <row r="744" customFormat="false" ht="15" hidden="false" customHeight="false" outlineLevel="0" collapsed="false">
      <c r="A744" s="4"/>
      <c r="B744" s="5" t="str">
        <f aca="false">IF(AND(TRIM(A744)&lt;&gt;"",ISNUMBER(FIND(" MT"," "&amp;A744)),LEFT(A744,5)&lt;&gt;"DESC="),MAX(B$2:B743)+1,"")</f>
        <v/>
      </c>
    </row>
    <row r="745" customFormat="false" ht="15" hidden="false" customHeight="false" outlineLevel="0" collapsed="false">
      <c r="A745" s="4"/>
      <c r="B745" s="5" t="str">
        <f aca="false">IF(AND(TRIM(A745)&lt;&gt;"",ISNUMBER(FIND(" MT"," "&amp;A745)),LEFT(A745,5)&lt;&gt;"DESC="),MAX(B$2:B744)+1,"")</f>
        <v/>
      </c>
    </row>
    <row r="746" customFormat="false" ht="15" hidden="false" customHeight="false" outlineLevel="0" collapsed="false">
      <c r="A746" s="4"/>
      <c r="B746" s="5" t="str">
        <f aca="false">IF(AND(TRIM(A746)&lt;&gt;"",ISNUMBER(FIND(" MT"," "&amp;A746)),LEFT(A746,5)&lt;&gt;"DESC="),MAX(B$2:B745)+1,"")</f>
        <v/>
      </c>
    </row>
    <row r="747" customFormat="false" ht="15" hidden="false" customHeight="false" outlineLevel="0" collapsed="false">
      <c r="A747" s="4"/>
      <c r="B747" s="5" t="str">
        <f aca="false">IF(AND(TRIM(A747)&lt;&gt;"",ISNUMBER(FIND(" MT"," "&amp;A747)),LEFT(A747,5)&lt;&gt;"DESC="),MAX(B$2:B746)+1,"")</f>
        <v/>
      </c>
    </row>
    <row r="748" customFormat="false" ht="15" hidden="false" customHeight="false" outlineLevel="0" collapsed="false">
      <c r="A748" s="4"/>
      <c r="B748" s="5" t="str">
        <f aca="false">IF(AND(TRIM(A748)&lt;&gt;"",ISNUMBER(FIND(" MT"," "&amp;A748)),LEFT(A748,5)&lt;&gt;"DESC="),MAX(B$2:B747)+1,"")</f>
        <v/>
      </c>
    </row>
    <row r="749" customFormat="false" ht="15" hidden="false" customHeight="false" outlineLevel="0" collapsed="false">
      <c r="A749" s="4"/>
      <c r="B749" s="5" t="str">
        <f aca="false">IF(AND(TRIM(A749)&lt;&gt;"",ISNUMBER(FIND(" MT"," "&amp;A749)),LEFT(A749,5)&lt;&gt;"DESC="),MAX(B$2:B748)+1,"")</f>
        <v/>
      </c>
    </row>
    <row r="750" customFormat="false" ht="15" hidden="false" customHeight="false" outlineLevel="0" collapsed="false">
      <c r="A750" s="4"/>
      <c r="B750" s="5" t="str">
        <f aca="false">IF(AND(TRIM(A750)&lt;&gt;"",ISNUMBER(FIND(" MT"," "&amp;A750)),LEFT(A750,5)&lt;&gt;"DESC="),MAX(B$2:B749)+1,"")</f>
        <v/>
      </c>
    </row>
    <row r="751" customFormat="false" ht="15" hidden="false" customHeight="false" outlineLevel="0" collapsed="false">
      <c r="A751" s="4"/>
      <c r="B751" s="5" t="str">
        <f aca="false">IF(AND(TRIM(A751)&lt;&gt;"",ISNUMBER(FIND(" MT"," "&amp;A751)),LEFT(A751,5)&lt;&gt;"DESC="),MAX(B$2:B750)+1,"")</f>
        <v/>
      </c>
    </row>
    <row r="752" customFormat="false" ht="15" hidden="false" customHeight="false" outlineLevel="0" collapsed="false">
      <c r="A752" s="4"/>
      <c r="B752" s="5" t="str">
        <f aca="false">IF(AND(TRIM(A752)&lt;&gt;"",ISNUMBER(FIND(" MT"," "&amp;A752)),LEFT(A752,5)&lt;&gt;"DESC="),MAX(B$2:B751)+1,"")</f>
        <v/>
      </c>
    </row>
    <row r="753" customFormat="false" ht="15" hidden="false" customHeight="false" outlineLevel="0" collapsed="false">
      <c r="A753" s="4"/>
      <c r="B753" s="5" t="str">
        <f aca="false">IF(AND(TRIM(A753)&lt;&gt;"",ISNUMBER(FIND(" MT"," "&amp;A753)),LEFT(A753,5)&lt;&gt;"DESC="),MAX(B$2:B752)+1,"")</f>
        <v/>
      </c>
    </row>
    <row r="754" customFormat="false" ht="15" hidden="false" customHeight="false" outlineLevel="0" collapsed="false">
      <c r="A754" s="4"/>
      <c r="B754" s="5" t="str">
        <f aca="false">IF(AND(TRIM(A754)&lt;&gt;"",ISNUMBER(FIND(" MT"," "&amp;A754)),LEFT(A754,5)&lt;&gt;"DESC="),MAX(B$2:B753)+1,"")</f>
        <v/>
      </c>
    </row>
    <row r="755" customFormat="false" ht="15" hidden="false" customHeight="false" outlineLevel="0" collapsed="false">
      <c r="A755" s="4"/>
      <c r="B755" s="5" t="str">
        <f aca="false">IF(AND(TRIM(A755)&lt;&gt;"",ISNUMBER(FIND(" MT"," "&amp;A755)),LEFT(A755,5)&lt;&gt;"DESC="),MAX(B$2:B754)+1,"")</f>
        <v/>
      </c>
    </row>
    <row r="756" customFormat="false" ht="15" hidden="false" customHeight="false" outlineLevel="0" collapsed="false">
      <c r="A756" s="4"/>
      <c r="B756" s="5" t="str">
        <f aca="false">IF(AND(TRIM(A756)&lt;&gt;"",ISNUMBER(FIND(" MT"," "&amp;A756)),LEFT(A756,5)&lt;&gt;"DESC="),MAX(B$2:B755)+1,"")</f>
        <v/>
      </c>
    </row>
    <row r="757" customFormat="false" ht="15" hidden="false" customHeight="false" outlineLevel="0" collapsed="false">
      <c r="A757" s="4"/>
      <c r="B757" s="5" t="str">
        <f aca="false">IF(AND(TRIM(A757)&lt;&gt;"",ISNUMBER(FIND(" MT"," "&amp;A757)),LEFT(A757,5)&lt;&gt;"DESC="),MAX(B$2:B756)+1,"")</f>
        <v/>
      </c>
    </row>
    <row r="758" customFormat="false" ht="15" hidden="false" customHeight="false" outlineLevel="0" collapsed="false">
      <c r="A758" s="4"/>
      <c r="B758" s="5" t="str">
        <f aca="false">IF(AND(TRIM(A758)&lt;&gt;"",ISNUMBER(FIND(" MT"," "&amp;A758)),LEFT(A758,5)&lt;&gt;"DESC="),MAX(B$2:B757)+1,"")</f>
        <v/>
      </c>
    </row>
    <row r="759" customFormat="false" ht="15" hidden="false" customHeight="false" outlineLevel="0" collapsed="false">
      <c r="A759" s="4"/>
      <c r="B759" s="5" t="str">
        <f aca="false">IF(AND(TRIM(A759)&lt;&gt;"",ISNUMBER(FIND(" MT"," "&amp;A759)),LEFT(A759,5)&lt;&gt;"DESC="),MAX(B$2:B758)+1,"")</f>
        <v/>
      </c>
    </row>
    <row r="760" customFormat="false" ht="15" hidden="false" customHeight="false" outlineLevel="0" collapsed="false">
      <c r="A760" s="4"/>
      <c r="B760" s="5" t="str">
        <f aca="false">IF(AND(TRIM(A760)&lt;&gt;"",ISNUMBER(FIND(" MT"," "&amp;A760)),LEFT(A760,5)&lt;&gt;"DESC="),MAX(B$2:B759)+1,"")</f>
        <v/>
      </c>
    </row>
    <row r="761" customFormat="false" ht="15" hidden="false" customHeight="false" outlineLevel="0" collapsed="false">
      <c r="A761" s="4"/>
      <c r="B761" s="5" t="str">
        <f aca="false">IF(AND(TRIM(A761)&lt;&gt;"",ISNUMBER(FIND(" MT"," "&amp;A761)),LEFT(A761,5)&lt;&gt;"DESC="),MAX(B$2:B760)+1,"")</f>
        <v/>
      </c>
    </row>
    <row r="762" customFormat="false" ht="15" hidden="false" customHeight="false" outlineLevel="0" collapsed="false">
      <c r="A762" s="4"/>
      <c r="B762" s="5" t="str">
        <f aca="false">IF(AND(TRIM(A762)&lt;&gt;"",ISNUMBER(FIND(" MT"," "&amp;A762)),LEFT(A762,5)&lt;&gt;"DESC="),MAX(B$2:B761)+1,"")</f>
        <v/>
      </c>
    </row>
    <row r="763" customFormat="false" ht="15" hidden="false" customHeight="false" outlineLevel="0" collapsed="false">
      <c r="A763" s="4"/>
      <c r="B763" s="5" t="str">
        <f aca="false">IF(AND(TRIM(A763)&lt;&gt;"",ISNUMBER(FIND(" MT"," "&amp;A763)),LEFT(A763,5)&lt;&gt;"DESC="),MAX(B$2:B762)+1,"")</f>
        <v/>
      </c>
    </row>
    <row r="764" customFormat="false" ht="15" hidden="false" customHeight="false" outlineLevel="0" collapsed="false">
      <c r="A764" s="4"/>
      <c r="B764" s="5" t="str">
        <f aca="false">IF(AND(TRIM(A764)&lt;&gt;"",ISNUMBER(FIND(" MT"," "&amp;A764)),LEFT(A764,5)&lt;&gt;"DESC="),MAX(B$2:B763)+1,"")</f>
        <v/>
      </c>
    </row>
    <row r="765" customFormat="false" ht="15" hidden="false" customHeight="false" outlineLevel="0" collapsed="false">
      <c r="A765" s="4"/>
      <c r="B765" s="5" t="str">
        <f aca="false">IF(AND(TRIM(A765)&lt;&gt;"",ISNUMBER(FIND(" MT"," "&amp;A765)),LEFT(A765,5)&lt;&gt;"DESC="),MAX(B$2:B764)+1,"")</f>
        <v/>
      </c>
    </row>
    <row r="766" customFormat="false" ht="15" hidden="false" customHeight="false" outlineLevel="0" collapsed="false">
      <c r="A766" s="4"/>
      <c r="B766" s="5" t="str">
        <f aca="false">IF(AND(TRIM(A766)&lt;&gt;"",ISNUMBER(FIND(" MT"," "&amp;A766)),LEFT(A766,5)&lt;&gt;"DESC="),MAX(B$2:B765)+1,"")</f>
        <v/>
      </c>
    </row>
    <row r="767" customFormat="false" ht="15" hidden="false" customHeight="false" outlineLevel="0" collapsed="false">
      <c r="A767" s="4"/>
      <c r="B767" s="5" t="str">
        <f aca="false">IF(AND(TRIM(A767)&lt;&gt;"",ISNUMBER(FIND(" MT"," "&amp;A767)),LEFT(A767,5)&lt;&gt;"DESC="),MAX(B$2:B766)+1,"")</f>
        <v/>
      </c>
    </row>
    <row r="768" customFormat="false" ht="15" hidden="false" customHeight="false" outlineLevel="0" collapsed="false">
      <c r="A768" s="4"/>
      <c r="B768" s="5" t="str">
        <f aca="false">IF(AND(TRIM(A768)&lt;&gt;"",ISNUMBER(FIND(" MT"," "&amp;A768)),LEFT(A768,5)&lt;&gt;"DESC="),MAX(B$2:B767)+1,"")</f>
        <v/>
      </c>
    </row>
    <row r="769" customFormat="false" ht="15" hidden="false" customHeight="false" outlineLevel="0" collapsed="false">
      <c r="A769" s="4"/>
      <c r="B769" s="5" t="str">
        <f aca="false">IF(AND(TRIM(A769)&lt;&gt;"",ISNUMBER(FIND(" MT"," "&amp;A769)),LEFT(A769,5)&lt;&gt;"DESC="),MAX(B$2:B768)+1,"")</f>
        <v/>
      </c>
    </row>
    <row r="770" customFormat="false" ht="15" hidden="false" customHeight="false" outlineLevel="0" collapsed="false">
      <c r="A770" s="4"/>
      <c r="B770" s="5" t="str">
        <f aca="false">IF(AND(TRIM(A770)&lt;&gt;"",ISNUMBER(FIND(" MT"," "&amp;A770)),LEFT(A770,5)&lt;&gt;"DESC="),MAX(B$2:B769)+1,"")</f>
        <v/>
      </c>
    </row>
    <row r="771" customFormat="false" ht="15" hidden="false" customHeight="false" outlineLevel="0" collapsed="false">
      <c r="A771" s="4"/>
      <c r="B771" s="5" t="str">
        <f aca="false">IF(AND(TRIM(A771)&lt;&gt;"",ISNUMBER(FIND(" MT"," "&amp;A771)),LEFT(A771,5)&lt;&gt;"DESC="),MAX(B$2:B770)+1,"")</f>
        <v/>
      </c>
    </row>
    <row r="772" customFormat="false" ht="15" hidden="false" customHeight="false" outlineLevel="0" collapsed="false">
      <c r="A772" s="4"/>
      <c r="B772" s="5" t="str">
        <f aca="false">IF(AND(TRIM(A772)&lt;&gt;"",ISNUMBER(FIND(" MT"," "&amp;A772)),LEFT(A772,5)&lt;&gt;"DESC="),MAX(B$2:B771)+1,"")</f>
        <v/>
      </c>
    </row>
    <row r="773" customFormat="false" ht="15" hidden="false" customHeight="false" outlineLevel="0" collapsed="false">
      <c r="A773" s="4"/>
      <c r="B773" s="5" t="str">
        <f aca="false">IF(AND(TRIM(A773)&lt;&gt;"",ISNUMBER(FIND(" MT"," "&amp;A773)),LEFT(A773,5)&lt;&gt;"DESC="),MAX(B$2:B772)+1,"")</f>
        <v/>
      </c>
    </row>
    <row r="774" customFormat="false" ht="15" hidden="false" customHeight="false" outlineLevel="0" collapsed="false">
      <c r="A774" s="4"/>
      <c r="B774" s="5" t="str">
        <f aca="false">IF(AND(TRIM(A774)&lt;&gt;"",ISNUMBER(FIND(" MT"," "&amp;A774)),LEFT(A774,5)&lt;&gt;"DESC="),MAX(B$2:B773)+1,"")</f>
        <v/>
      </c>
    </row>
    <row r="775" customFormat="false" ht="15" hidden="false" customHeight="false" outlineLevel="0" collapsed="false">
      <c r="A775" s="4"/>
      <c r="B775" s="5" t="str">
        <f aca="false">IF(AND(TRIM(A775)&lt;&gt;"",ISNUMBER(FIND(" MT"," "&amp;A775)),LEFT(A775,5)&lt;&gt;"DESC="),MAX(B$2:B774)+1,"")</f>
        <v/>
      </c>
    </row>
    <row r="776" customFormat="false" ht="15" hidden="false" customHeight="false" outlineLevel="0" collapsed="false">
      <c r="A776" s="4"/>
      <c r="B776" s="5" t="str">
        <f aca="false">IF(AND(TRIM(A776)&lt;&gt;"",ISNUMBER(FIND(" MT"," "&amp;A776)),LEFT(A776,5)&lt;&gt;"DESC="),MAX(B$2:B775)+1,"")</f>
        <v/>
      </c>
    </row>
    <row r="777" customFormat="false" ht="15" hidden="false" customHeight="false" outlineLevel="0" collapsed="false">
      <c r="A777" s="4"/>
      <c r="B777" s="5" t="str">
        <f aca="false">IF(AND(TRIM(A777)&lt;&gt;"",ISNUMBER(FIND(" MT"," "&amp;A777)),LEFT(A777,5)&lt;&gt;"DESC="),MAX(B$2:B776)+1,"")</f>
        <v/>
      </c>
    </row>
    <row r="778" customFormat="false" ht="15" hidden="false" customHeight="false" outlineLevel="0" collapsed="false">
      <c r="A778" s="4"/>
      <c r="B778" s="5" t="str">
        <f aca="false">IF(AND(TRIM(A778)&lt;&gt;"",ISNUMBER(FIND(" MT"," "&amp;A778)),LEFT(A778,5)&lt;&gt;"DESC="),MAX(B$2:B777)+1,"")</f>
        <v/>
      </c>
    </row>
    <row r="779" customFormat="false" ht="15" hidden="false" customHeight="false" outlineLevel="0" collapsed="false">
      <c r="A779" s="4"/>
      <c r="B779" s="5" t="str">
        <f aca="false">IF(AND(TRIM(A779)&lt;&gt;"",ISNUMBER(FIND(" MT"," "&amp;A779)),LEFT(A779,5)&lt;&gt;"DESC="),MAX(B$2:B778)+1,"")</f>
        <v/>
      </c>
    </row>
    <row r="780" customFormat="false" ht="15" hidden="false" customHeight="false" outlineLevel="0" collapsed="false">
      <c r="A780" s="4"/>
      <c r="B780" s="5" t="str">
        <f aca="false">IF(AND(TRIM(A780)&lt;&gt;"",ISNUMBER(FIND(" MT"," "&amp;A780)),LEFT(A780,5)&lt;&gt;"DESC="),MAX(B$2:B779)+1,"")</f>
        <v/>
      </c>
    </row>
    <row r="781" customFormat="false" ht="15" hidden="false" customHeight="false" outlineLevel="0" collapsed="false">
      <c r="A781" s="4"/>
      <c r="B781" s="5" t="str">
        <f aca="false">IF(AND(TRIM(A781)&lt;&gt;"",ISNUMBER(FIND(" MT"," "&amp;A781)),LEFT(A781,5)&lt;&gt;"DESC="),MAX(B$2:B780)+1,"")</f>
        <v/>
      </c>
    </row>
    <row r="782" customFormat="false" ht="15" hidden="false" customHeight="false" outlineLevel="0" collapsed="false">
      <c r="A782" s="4"/>
      <c r="B782" s="5" t="str">
        <f aca="false">IF(AND(TRIM(A782)&lt;&gt;"",ISNUMBER(FIND(" MT"," "&amp;A782)),LEFT(A782,5)&lt;&gt;"DESC="),MAX(B$2:B781)+1,"")</f>
        <v/>
      </c>
    </row>
    <row r="783" customFormat="false" ht="15" hidden="false" customHeight="false" outlineLevel="0" collapsed="false">
      <c r="A783" s="4"/>
      <c r="B783" s="5" t="str">
        <f aca="false">IF(AND(TRIM(A783)&lt;&gt;"",ISNUMBER(FIND(" MT"," "&amp;A783)),LEFT(A783,5)&lt;&gt;"DESC="),MAX(B$2:B782)+1,"")</f>
        <v/>
      </c>
    </row>
    <row r="784" customFormat="false" ht="15" hidden="false" customHeight="false" outlineLevel="0" collapsed="false">
      <c r="A784" s="4"/>
      <c r="B784" s="5" t="str">
        <f aca="false">IF(AND(TRIM(A784)&lt;&gt;"",ISNUMBER(FIND(" MT"," "&amp;A784)),LEFT(A784,5)&lt;&gt;"DESC="),MAX(B$2:B783)+1,"")</f>
        <v/>
      </c>
    </row>
    <row r="785" customFormat="false" ht="15" hidden="false" customHeight="false" outlineLevel="0" collapsed="false">
      <c r="A785" s="4"/>
      <c r="B785" s="5" t="str">
        <f aca="false">IF(AND(TRIM(A785)&lt;&gt;"",ISNUMBER(FIND(" MT"," "&amp;A785)),LEFT(A785,5)&lt;&gt;"DESC="),MAX(B$2:B784)+1,"")</f>
        <v/>
      </c>
    </row>
    <row r="786" customFormat="false" ht="15" hidden="false" customHeight="false" outlineLevel="0" collapsed="false">
      <c r="A786" s="4"/>
      <c r="B786" s="5" t="str">
        <f aca="false">IF(AND(TRIM(A786)&lt;&gt;"",ISNUMBER(FIND(" MT"," "&amp;A786)),LEFT(A786,5)&lt;&gt;"DESC="),MAX(B$2:B785)+1,"")</f>
        <v/>
      </c>
    </row>
    <row r="787" customFormat="false" ht="15" hidden="false" customHeight="false" outlineLevel="0" collapsed="false">
      <c r="A787" s="4"/>
      <c r="B787" s="5" t="str">
        <f aca="false">IF(AND(TRIM(A787)&lt;&gt;"",ISNUMBER(FIND(" MT"," "&amp;A787)),LEFT(A787,5)&lt;&gt;"DESC="),MAX(B$2:B786)+1,"")</f>
        <v/>
      </c>
    </row>
    <row r="788" customFormat="false" ht="15" hidden="false" customHeight="false" outlineLevel="0" collapsed="false">
      <c r="A788" s="4"/>
      <c r="B788" s="5" t="str">
        <f aca="false">IF(AND(TRIM(A788)&lt;&gt;"",ISNUMBER(FIND(" MT"," "&amp;A788)),LEFT(A788,5)&lt;&gt;"DESC="),MAX(B$2:B787)+1,"")</f>
        <v/>
      </c>
    </row>
    <row r="789" customFormat="false" ht="15" hidden="false" customHeight="false" outlineLevel="0" collapsed="false">
      <c r="A789" s="4"/>
      <c r="B789" s="5" t="str">
        <f aca="false">IF(AND(TRIM(A789)&lt;&gt;"",ISNUMBER(FIND(" MT"," "&amp;A789)),LEFT(A789,5)&lt;&gt;"DESC="),MAX(B$2:B788)+1,"")</f>
        <v/>
      </c>
    </row>
    <row r="790" customFormat="false" ht="15" hidden="false" customHeight="false" outlineLevel="0" collapsed="false">
      <c r="A790" s="4"/>
      <c r="B790" s="5" t="str">
        <f aca="false">IF(AND(TRIM(A790)&lt;&gt;"",ISNUMBER(FIND(" MT"," "&amp;A790)),LEFT(A790,5)&lt;&gt;"DESC="),MAX(B$2:B789)+1,"")</f>
        <v/>
      </c>
    </row>
    <row r="791" customFormat="false" ht="15" hidden="false" customHeight="false" outlineLevel="0" collapsed="false">
      <c r="A791" s="4"/>
      <c r="B791" s="5" t="str">
        <f aca="false">IF(AND(TRIM(A791)&lt;&gt;"",ISNUMBER(FIND(" MT"," "&amp;A791)),LEFT(A791,5)&lt;&gt;"DESC="),MAX(B$2:B790)+1,"")</f>
        <v/>
      </c>
    </row>
    <row r="792" customFormat="false" ht="15" hidden="false" customHeight="false" outlineLevel="0" collapsed="false">
      <c r="A792" s="4"/>
      <c r="B792" s="5" t="str">
        <f aca="false">IF(AND(TRIM(A792)&lt;&gt;"",ISNUMBER(FIND(" MT"," "&amp;A792)),LEFT(A792,5)&lt;&gt;"DESC="),MAX(B$2:B791)+1,"")</f>
        <v/>
      </c>
    </row>
    <row r="793" customFormat="false" ht="15" hidden="false" customHeight="false" outlineLevel="0" collapsed="false">
      <c r="A793" s="4"/>
      <c r="B793" s="5" t="str">
        <f aca="false">IF(AND(TRIM(A793)&lt;&gt;"",ISNUMBER(FIND(" MT"," "&amp;A793)),LEFT(A793,5)&lt;&gt;"DESC="),MAX(B$2:B792)+1,"")</f>
        <v/>
      </c>
    </row>
    <row r="794" customFormat="false" ht="15" hidden="false" customHeight="false" outlineLevel="0" collapsed="false">
      <c r="A794" s="4"/>
      <c r="B794" s="5" t="str">
        <f aca="false">IF(AND(TRIM(A794)&lt;&gt;"",ISNUMBER(FIND(" MT"," "&amp;A794)),LEFT(A794,5)&lt;&gt;"DESC="),MAX(B$2:B793)+1,"")</f>
        <v/>
      </c>
    </row>
    <row r="795" customFormat="false" ht="15" hidden="false" customHeight="false" outlineLevel="0" collapsed="false">
      <c r="A795" s="4"/>
      <c r="B795" s="5" t="str">
        <f aca="false">IF(AND(TRIM(A795)&lt;&gt;"",ISNUMBER(FIND(" MT"," "&amp;A795)),LEFT(A795,5)&lt;&gt;"DESC="),MAX(B$2:B794)+1,"")</f>
        <v/>
      </c>
    </row>
    <row r="796" customFormat="false" ht="15" hidden="false" customHeight="false" outlineLevel="0" collapsed="false">
      <c r="A796" s="4"/>
      <c r="B796" s="5" t="str">
        <f aca="false">IF(AND(TRIM(A796)&lt;&gt;"",ISNUMBER(FIND(" MT"," "&amp;A796)),LEFT(A796,5)&lt;&gt;"DESC="),MAX(B$2:B795)+1,"")</f>
        <v/>
      </c>
    </row>
    <row r="797" customFormat="false" ht="15" hidden="false" customHeight="false" outlineLevel="0" collapsed="false">
      <c r="A797" s="4"/>
      <c r="B797" s="5" t="str">
        <f aca="false">IF(AND(TRIM(A797)&lt;&gt;"",ISNUMBER(FIND(" MT"," "&amp;A797)),LEFT(A797,5)&lt;&gt;"DESC="),MAX(B$2:B796)+1,"")</f>
        <v/>
      </c>
    </row>
    <row r="798" customFormat="false" ht="15" hidden="false" customHeight="false" outlineLevel="0" collapsed="false">
      <c r="A798" s="4"/>
      <c r="B798" s="5" t="str">
        <f aca="false">IF(AND(TRIM(A798)&lt;&gt;"",ISNUMBER(FIND(" MT"," "&amp;A798)),LEFT(A798,5)&lt;&gt;"DESC="),MAX(B$2:B797)+1,"")</f>
        <v/>
      </c>
    </row>
    <row r="799" customFormat="false" ht="15" hidden="false" customHeight="false" outlineLevel="0" collapsed="false">
      <c r="A799" s="4"/>
      <c r="B799" s="5" t="str">
        <f aca="false">IF(AND(TRIM(A799)&lt;&gt;"",ISNUMBER(FIND(" MT"," "&amp;A799)),LEFT(A799,5)&lt;&gt;"DESC="),MAX(B$2:B798)+1,"")</f>
        <v/>
      </c>
    </row>
    <row r="800" customFormat="false" ht="15" hidden="false" customHeight="false" outlineLevel="0" collapsed="false">
      <c r="A800" s="4"/>
      <c r="B800" s="5" t="str">
        <f aca="false">IF(AND(TRIM(A800)&lt;&gt;"",ISNUMBER(FIND(" MT"," "&amp;A800)),LEFT(A800,5)&lt;&gt;"DESC="),MAX(B$2:B799)+1,"")</f>
        <v/>
      </c>
    </row>
    <row r="801" customFormat="false" ht="15" hidden="false" customHeight="false" outlineLevel="0" collapsed="false">
      <c r="A801" s="4"/>
      <c r="B801" s="5" t="str">
        <f aca="false">IF(AND(TRIM(A801)&lt;&gt;"",ISNUMBER(FIND(" MT"," "&amp;A801)),LEFT(A801,5)&lt;&gt;"DESC="),MAX(B$2:B800)+1,"")</f>
        <v/>
      </c>
    </row>
    <row r="802" customFormat="false" ht="15" hidden="false" customHeight="false" outlineLevel="0" collapsed="false">
      <c r="A802" s="4"/>
      <c r="B802" s="5" t="str">
        <f aca="false">IF(AND(TRIM(A802)&lt;&gt;"",ISNUMBER(FIND(" MT"," "&amp;A802)),LEFT(A802,5)&lt;&gt;"DESC="),MAX(B$2:B801)+1,"")</f>
        <v/>
      </c>
    </row>
    <row r="803" customFormat="false" ht="15" hidden="false" customHeight="false" outlineLevel="0" collapsed="false">
      <c r="A803" s="4"/>
      <c r="B803" s="5" t="str">
        <f aca="false">IF(AND(TRIM(A803)&lt;&gt;"",ISNUMBER(FIND(" MT"," "&amp;A803)),LEFT(A803,5)&lt;&gt;"DESC="),MAX(B$2:B802)+1,"")</f>
        <v/>
      </c>
    </row>
    <row r="804" customFormat="false" ht="15" hidden="false" customHeight="false" outlineLevel="0" collapsed="false">
      <c r="A804" s="4"/>
      <c r="B804" s="5" t="str">
        <f aca="false">IF(AND(TRIM(A804)&lt;&gt;"",ISNUMBER(FIND(" MT"," "&amp;A804)),LEFT(A804,5)&lt;&gt;"DESC="),MAX(B$2:B803)+1,"")</f>
        <v/>
      </c>
    </row>
    <row r="805" customFormat="false" ht="15" hidden="false" customHeight="false" outlineLevel="0" collapsed="false">
      <c r="A805" s="4"/>
      <c r="B805" s="5" t="str">
        <f aca="false">IF(AND(TRIM(A805)&lt;&gt;"",ISNUMBER(FIND(" MT"," "&amp;A805)),LEFT(A805,5)&lt;&gt;"DESC="),MAX(B$2:B804)+1,"")</f>
        <v/>
      </c>
    </row>
    <row r="806" customFormat="false" ht="15" hidden="false" customHeight="false" outlineLevel="0" collapsed="false">
      <c r="A806" s="4"/>
      <c r="B806" s="5" t="str">
        <f aca="false">IF(AND(TRIM(A806)&lt;&gt;"",ISNUMBER(FIND(" MT"," "&amp;A806)),LEFT(A806,5)&lt;&gt;"DESC="),MAX(B$2:B805)+1,"")</f>
        <v/>
      </c>
    </row>
    <row r="807" customFormat="false" ht="15" hidden="false" customHeight="false" outlineLevel="0" collapsed="false">
      <c r="A807" s="4"/>
      <c r="B807" s="5" t="str">
        <f aca="false">IF(AND(TRIM(A807)&lt;&gt;"",ISNUMBER(FIND(" MT"," "&amp;A807)),LEFT(A807,5)&lt;&gt;"DESC="),MAX(B$2:B806)+1,"")</f>
        <v/>
      </c>
    </row>
    <row r="808" customFormat="false" ht="15" hidden="false" customHeight="false" outlineLevel="0" collapsed="false">
      <c r="A808" s="4"/>
      <c r="B808" s="5" t="str">
        <f aca="false">IF(AND(TRIM(A808)&lt;&gt;"",ISNUMBER(FIND(" MT"," "&amp;A808)),LEFT(A808,5)&lt;&gt;"DESC="),MAX(B$2:B807)+1,"")</f>
        <v/>
      </c>
    </row>
    <row r="809" customFormat="false" ht="15" hidden="false" customHeight="false" outlineLevel="0" collapsed="false">
      <c r="A809" s="4"/>
      <c r="B809" s="5" t="str">
        <f aca="false">IF(AND(TRIM(A809)&lt;&gt;"",ISNUMBER(FIND(" MT"," "&amp;A809)),LEFT(A809,5)&lt;&gt;"DESC="),MAX(B$2:B808)+1,"")</f>
        <v/>
      </c>
    </row>
    <row r="810" customFormat="false" ht="15" hidden="false" customHeight="false" outlineLevel="0" collapsed="false">
      <c r="A810" s="4"/>
      <c r="B810" s="5" t="str">
        <f aca="false">IF(AND(TRIM(A810)&lt;&gt;"",ISNUMBER(FIND(" MT"," "&amp;A810)),LEFT(A810,5)&lt;&gt;"DESC="),MAX(B$2:B809)+1,"")</f>
        <v/>
      </c>
    </row>
    <row r="811" customFormat="false" ht="15" hidden="false" customHeight="false" outlineLevel="0" collapsed="false">
      <c r="A811" s="4"/>
      <c r="B811" s="5" t="str">
        <f aca="false">IF(AND(TRIM(A811)&lt;&gt;"",ISNUMBER(FIND(" MT"," "&amp;A811)),LEFT(A811,5)&lt;&gt;"DESC="),MAX(B$2:B810)+1,"")</f>
        <v/>
      </c>
    </row>
    <row r="812" customFormat="false" ht="15" hidden="false" customHeight="false" outlineLevel="0" collapsed="false">
      <c r="A812" s="4"/>
      <c r="B812" s="5" t="str">
        <f aca="false">IF(AND(TRIM(A812)&lt;&gt;"",ISNUMBER(FIND(" MT"," "&amp;A812)),LEFT(A812,5)&lt;&gt;"DESC="),MAX(B$2:B811)+1,"")</f>
        <v/>
      </c>
    </row>
    <row r="813" customFormat="false" ht="15" hidden="false" customHeight="false" outlineLevel="0" collapsed="false">
      <c r="A813" s="4"/>
      <c r="B813" s="5" t="str">
        <f aca="false">IF(AND(TRIM(A813)&lt;&gt;"",ISNUMBER(FIND(" MT"," "&amp;A813)),LEFT(A813,5)&lt;&gt;"DESC="),MAX(B$2:B812)+1,"")</f>
        <v/>
      </c>
    </row>
    <row r="814" customFormat="false" ht="15" hidden="false" customHeight="false" outlineLevel="0" collapsed="false">
      <c r="A814" s="4"/>
      <c r="B814" s="5" t="str">
        <f aca="false">IF(AND(TRIM(A814)&lt;&gt;"",ISNUMBER(FIND(" MT"," "&amp;A814)),LEFT(A814,5)&lt;&gt;"DESC="),MAX(B$2:B813)+1,"")</f>
        <v/>
      </c>
    </row>
    <row r="815" customFormat="false" ht="15" hidden="false" customHeight="false" outlineLevel="0" collapsed="false">
      <c r="A815" s="4"/>
      <c r="B815" s="5" t="str">
        <f aca="false">IF(AND(TRIM(A815)&lt;&gt;"",ISNUMBER(FIND(" MT"," "&amp;A815)),LEFT(A815,5)&lt;&gt;"DESC="),MAX(B$2:B814)+1,"")</f>
        <v/>
      </c>
    </row>
    <row r="816" customFormat="false" ht="15" hidden="false" customHeight="false" outlineLevel="0" collapsed="false">
      <c r="A816" s="4"/>
      <c r="B816" s="5" t="str">
        <f aca="false">IF(AND(TRIM(A816)&lt;&gt;"",ISNUMBER(FIND(" MT"," "&amp;A816)),LEFT(A816,5)&lt;&gt;"DESC="),MAX(B$2:B815)+1,"")</f>
        <v/>
      </c>
    </row>
    <row r="817" customFormat="false" ht="15" hidden="false" customHeight="false" outlineLevel="0" collapsed="false">
      <c r="A817" s="4"/>
      <c r="B817" s="5" t="str">
        <f aca="false">IF(AND(TRIM(A817)&lt;&gt;"",ISNUMBER(FIND(" MT"," "&amp;A817)),LEFT(A817,5)&lt;&gt;"DESC="),MAX(B$2:B816)+1,"")</f>
        <v/>
      </c>
    </row>
    <row r="818" customFormat="false" ht="15" hidden="false" customHeight="false" outlineLevel="0" collapsed="false">
      <c r="A818" s="4"/>
      <c r="B818" s="5" t="str">
        <f aca="false">IF(AND(TRIM(A818)&lt;&gt;"",ISNUMBER(FIND(" MT"," "&amp;A818)),LEFT(A818,5)&lt;&gt;"DESC="),MAX(B$2:B817)+1,"")</f>
        <v/>
      </c>
    </row>
    <row r="819" customFormat="false" ht="15" hidden="false" customHeight="false" outlineLevel="0" collapsed="false">
      <c r="A819" s="4"/>
      <c r="B819" s="5" t="str">
        <f aca="false">IF(AND(TRIM(A819)&lt;&gt;"",ISNUMBER(FIND(" MT"," "&amp;A819)),LEFT(A819,5)&lt;&gt;"DESC="),MAX(B$2:B818)+1,"")</f>
        <v/>
      </c>
    </row>
    <row r="820" customFormat="false" ht="15" hidden="false" customHeight="false" outlineLevel="0" collapsed="false">
      <c r="A820" s="4"/>
      <c r="B820" s="5" t="str">
        <f aca="false">IF(AND(TRIM(A820)&lt;&gt;"",ISNUMBER(FIND(" MT"," "&amp;A820)),LEFT(A820,5)&lt;&gt;"DESC="),MAX(B$2:B819)+1,"")</f>
        <v/>
      </c>
    </row>
    <row r="821" customFormat="false" ht="15" hidden="false" customHeight="false" outlineLevel="0" collapsed="false">
      <c r="A821" s="4"/>
      <c r="B821" s="5" t="str">
        <f aca="false">IF(AND(TRIM(A821)&lt;&gt;"",ISNUMBER(FIND(" MT"," "&amp;A821)),LEFT(A821,5)&lt;&gt;"DESC="),MAX(B$2:B820)+1,"")</f>
        <v/>
      </c>
    </row>
    <row r="822" customFormat="false" ht="15" hidden="false" customHeight="false" outlineLevel="0" collapsed="false">
      <c r="A822" s="4"/>
      <c r="B822" s="5" t="str">
        <f aca="false">IF(AND(TRIM(A822)&lt;&gt;"",ISNUMBER(FIND(" MT"," "&amp;A822)),LEFT(A822,5)&lt;&gt;"DESC="),MAX(B$2:B821)+1,"")</f>
        <v/>
      </c>
    </row>
    <row r="823" customFormat="false" ht="15" hidden="false" customHeight="false" outlineLevel="0" collapsed="false">
      <c r="A823" s="4"/>
      <c r="B823" s="5" t="str">
        <f aca="false">IF(AND(TRIM(A823)&lt;&gt;"",ISNUMBER(FIND(" MT"," "&amp;A823)),LEFT(A823,5)&lt;&gt;"DESC="),MAX(B$2:B822)+1,"")</f>
        <v/>
      </c>
    </row>
    <row r="824" customFormat="false" ht="15" hidden="false" customHeight="false" outlineLevel="0" collapsed="false">
      <c r="A824" s="4"/>
      <c r="B824" s="5" t="str">
        <f aca="false">IF(AND(TRIM(A824)&lt;&gt;"",ISNUMBER(FIND(" MT"," "&amp;A824)),LEFT(A824,5)&lt;&gt;"DESC="),MAX(B$2:B823)+1,"")</f>
        <v/>
      </c>
    </row>
    <row r="825" customFormat="false" ht="15" hidden="false" customHeight="false" outlineLevel="0" collapsed="false">
      <c r="A825" s="4"/>
      <c r="B825" s="5" t="str">
        <f aca="false">IF(AND(TRIM(A825)&lt;&gt;"",ISNUMBER(FIND(" MT"," "&amp;A825)),LEFT(A825,5)&lt;&gt;"DESC="),MAX(B$2:B824)+1,"")</f>
        <v/>
      </c>
    </row>
    <row r="826" customFormat="false" ht="15" hidden="false" customHeight="false" outlineLevel="0" collapsed="false">
      <c r="A826" s="4"/>
      <c r="B826" s="5" t="str">
        <f aca="false">IF(AND(TRIM(A826)&lt;&gt;"",ISNUMBER(FIND(" MT"," "&amp;A826)),LEFT(A826,5)&lt;&gt;"DESC="),MAX(B$2:B825)+1,"")</f>
        <v/>
      </c>
    </row>
    <row r="827" customFormat="false" ht="15" hidden="false" customHeight="false" outlineLevel="0" collapsed="false">
      <c r="A827" s="4"/>
      <c r="B827" s="5" t="str">
        <f aca="false">IF(AND(TRIM(A827)&lt;&gt;"",ISNUMBER(FIND(" MT"," "&amp;A827)),LEFT(A827,5)&lt;&gt;"DESC="),MAX(B$2:B826)+1,"")</f>
        <v/>
      </c>
    </row>
    <row r="828" customFormat="false" ht="15" hidden="false" customHeight="false" outlineLevel="0" collapsed="false">
      <c r="A828" s="4"/>
      <c r="B828" s="5" t="str">
        <f aca="false">IF(AND(TRIM(A828)&lt;&gt;"",ISNUMBER(FIND(" MT"," "&amp;A828)),LEFT(A828,5)&lt;&gt;"DESC="),MAX(B$2:B827)+1,"")</f>
        <v/>
      </c>
    </row>
    <row r="829" customFormat="false" ht="15" hidden="false" customHeight="false" outlineLevel="0" collapsed="false">
      <c r="A829" s="4"/>
      <c r="B829" s="5" t="str">
        <f aca="false">IF(AND(TRIM(A829)&lt;&gt;"",ISNUMBER(FIND(" MT"," "&amp;A829)),LEFT(A829,5)&lt;&gt;"DESC="),MAX(B$2:B828)+1,"")</f>
        <v/>
      </c>
    </row>
    <row r="830" customFormat="false" ht="15" hidden="false" customHeight="false" outlineLevel="0" collapsed="false">
      <c r="A830" s="4"/>
      <c r="B830" s="5" t="str">
        <f aca="false">IF(AND(TRIM(A830)&lt;&gt;"",ISNUMBER(FIND(" MT"," "&amp;A830)),LEFT(A830,5)&lt;&gt;"DESC="),MAX(B$2:B829)+1,"")</f>
        <v/>
      </c>
    </row>
    <row r="831" customFormat="false" ht="15" hidden="false" customHeight="false" outlineLevel="0" collapsed="false">
      <c r="A831" s="4"/>
      <c r="B831" s="5" t="str">
        <f aca="false">IF(AND(TRIM(A831)&lt;&gt;"",ISNUMBER(FIND(" MT"," "&amp;A831)),LEFT(A831,5)&lt;&gt;"DESC="),MAX(B$2:B830)+1,"")</f>
        <v/>
      </c>
    </row>
    <row r="832" customFormat="false" ht="15" hidden="false" customHeight="false" outlineLevel="0" collapsed="false">
      <c r="A832" s="4"/>
      <c r="B832" s="5" t="str">
        <f aca="false">IF(AND(TRIM(A832)&lt;&gt;"",ISNUMBER(FIND(" MT"," "&amp;A832)),LEFT(A832,5)&lt;&gt;"DESC="),MAX(B$2:B831)+1,"")</f>
        <v/>
      </c>
    </row>
    <row r="833" customFormat="false" ht="15" hidden="false" customHeight="false" outlineLevel="0" collapsed="false">
      <c r="A833" s="4"/>
      <c r="B833" s="5" t="str">
        <f aca="false">IF(AND(TRIM(A833)&lt;&gt;"",ISNUMBER(FIND(" MT"," "&amp;A833)),LEFT(A833,5)&lt;&gt;"DESC="),MAX(B$2:B832)+1,"")</f>
        <v/>
      </c>
    </row>
    <row r="834" customFormat="false" ht="15" hidden="false" customHeight="false" outlineLevel="0" collapsed="false">
      <c r="A834" s="4"/>
      <c r="B834" s="5" t="str">
        <f aca="false">IF(AND(TRIM(A834)&lt;&gt;"",ISNUMBER(FIND(" MT"," "&amp;A834)),LEFT(A834,5)&lt;&gt;"DESC="),MAX(B$2:B833)+1,"")</f>
        <v/>
      </c>
    </row>
    <row r="835" customFormat="false" ht="15" hidden="false" customHeight="false" outlineLevel="0" collapsed="false">
      <c r="A835" s="4"/>
      <c r="B835" s="5" t="str">
        <f aca="false">IF(AND(TRIM(A835)&lt;&gt;"",ISNUMBER(FIND(" MT"," "&amp;A835)),LEFT(A835,5)&lt;&gt;"DESC="),MAX(B$2:B834)+1,"")</f>
        <v/>
      </c>
    </row>
    <row r="836" customFormat="false" ht="15" hidden="false" customHeight="false" outlineLevel="0" collapsed="false">
      <c r="A836" s="4"/>
      <c r="B836" s="5" t="str">
        <f aca="false">IF(AND(TRIM(A836)&lt;&gt;"",ISNUMBER(FIND(" MT"," "&amp;A836)),LEFT(A836,5)&lt;&gt;"DESC="),MAX(B$2:B835)+1,"")</f>
        <v/>
      </c>
    </row>
    <row r="837" customFormat="false" ht="15" hidden="false" customHeight="false" outlineLevel="0" collapsed="false">
      <c r="A837" s="4"/>
      <c r="B837" s="5" t="str">
        <f aca="false">IF(AND(TRIM(A837)&lt;&gt;"",ISNUMBER(FIND(" MT"," "&amp;A837)),LEFT(A837,5)&lt;&gt;"DESC="),MAX(B$2:B836)+1,"")</f>
        <v/>
      </c>
    </row>
    <row r="838" customFormat="false" ht="15" hidden="false" customHeight="false" outlineLevel="0" collapsed="false">
      <c r="A838" s="4"/>
      <c r="B838" s="5" t="str">
        <f aca="false">IF(AND(TRIM(A838)&lt;&gt;"",ISNUMBER(FIND(" MT"," "&amp;A838)),LEFT(A838,5)&lt;&gt;"DESC="),MAX(B$2:B837)+1,"")</f>
        <v/>
      </c>
    </row>
    <row r="839" customFormat="false" ht="15" hidden="false" customHeight="false" outlineLevel="0" collapsed="false">
      <c r="A839" s="4"/>
      <c r="B839" s="5" t="str">
        <f aca="false">IF(AND(TRIM(A839)&lt;&gt;"",ISNUMBER(FIND(" MT"," "&amp;A839)),LEFT(A839,5)&lt;&gt;"DESC="),MAX(B$2:B838)+1,"")</f>
        <v/>
      </c>
    </row>
    <row r="840" customFormat="false" ht="15" hidden="false" customHeight="false" outlineLevel="0" collapsed="false">
      <c r="A840" s="4"/>
      <c r="B840" s="5" t="str">
        <f aca="false">IF(AND(TRIM(A840)&lt;&gt;"",ISNUMBER(FIND(" MT"," "&amp;A840)),LEFT(A840,5)&lt;&gt;"DESC="),MAX(B$2:B839)+1,"")</f>
        <v/>
      </c>
    </row>
    <row r="841" customFormat="false" ht="15" hidden="false" customHeight="false" outlineLevel="0" collapsed="false">
      <c r="A841" s="4"/>
      <c r="B841" s="5" t="str">
        <f aca="false">IF(AND(TRIM(A841)&lt;&gt;"",ISNUMBER(FIND(" MT"," "&amp;A841)),LEFT(A841,5)&lt;&gt;"DESC="),MAX(B$2:B840)+1,"")</f>
        <v/>
      </c>
    </row>
    <row r="842" customFormat="false" ht="15" hidden="false" customHeight="false" outlineLevel="0" collapsed="false">
      <c r="A842" s="4"/>
      <c r="B842" s="5" t="str">
        <f aca="false">IF(AND(TRIM(A842)&lt;&gt;"",ISNUMBER(FIND(" MT"," "&amp;A842)),LEFT(A842,5)&lt;&gt;"DESC="),MAX(B$2:B841)+1,"")</f>
        <v/>
      </c>
    </row>
    <row r="843" customFormat="false" ht="15" hidden="false" customHeight="false" outlineLevel="0" collapsed="false">
      <c r="A843" s="4"/>
      <c r="B843" s="5" t="str">
        <f aca="false">IF(AND(TRIM(A843)&lt;&gt;"",ISNUMBER(FIND(" MT"," "&amp;A843)),LEFT(A843,5)&lt;&gt;"DESC="),MAX(B$2:B842)+1,"")</f>
        <v/>
      </c>
    </row>
    <row r="844" customFormat="false" ht="15" hidden="false" customHeight="false" outlineLevel="0" collapsed="false">
      <c r="A844" s="4"/>
      <c r="B844" s="5" t="str">
        <f aca="false">IF(AND(TRIM(A844)&lt;&gt;"",ISNUMBER(FIND(" MT"," "&amp;A844)),LEFT(A844,5)&lt;&gt;"DESC="),MAX(B$2:B843)+1,"")</f>
        <v/>
      </c>
    </row>
    <row r="845" customFormat="false" ht="15" hidden="false" customHeight="false" outlineLevel="0" collapsed="false">
      <c r="A845" s="4"/>
      <c r="B845" s="5" t="str">
        <f aca="false">IF(AND(TRIM(A845)&lt;&gt;"",ISNUMBER(FIND(" MT"," "&amp;A845)),LEFT(A845,5)&lt;&gt;"DESC="),MAX(B$2:B844)+1,"")</f>
        <v/>
      </c>
    </row>
    <row r="846" customFormat="false" ht="15" hidden="false" customHeight="false" outlineLevel="0" collapsed="false">
      <c r="A846" s="4"/>
      <c r="B846" s="5" t="str">
        <f aca="false">IF(AND(TRIM(A846)&lt;&gt;"",ISNUMBER(FIND(" MT"," "&amp;A846)),LEFT(A846,5)&lt;&gt;"DESC="),MAX(B$2:B845)+1,"")</f>
        <v/>
      </c>
    </row>
    <row r="847" customFormat="false" ht="15" hidden="false" customHeight="false" outlineLevel="0" collapsed="false">
      <c r="A847" s="4"/>
      <c r="B847" s="5" t="str">
        <f aca="false">IF(AND(TRIM(A847)&lt;&gt;"",ISNUMBER(FIND(" MT"," "&amp;A847)),LEFT(A847,5)&lt;&gt;"DESC="),MAX(B$2:B846)+1,"")</f>
        <v/>
      </c>
    </row>
    <row r="848" customFormat="false" ht="15" hidden="false" customHeight="false" outlineLevel="0" collapsed="false">
      <c r="A848" s="4"/>
      <c r="B848" s="5" t="str">
        <f aca="false">IF(AND(TRIM(A848)&lt;&gt;"",ISNUMBER(FIND(" MT"," "&amp;A848)),LEFT(A848,5)&lt;&gt;"DESC="),MAX(B$2:B847)+1,"")</f>
        <v/>
      </c>
    </row>
    <row r="849" customFormat="false" ht="15" hidden="false" customHeight="false" outlineLevel="0" collapsed="false">
      <c r="A849" s="4"/>
      <c r="B849" s="5" t="str">
        <f aca="false">IF(AND(TRIM(A849)&lt;&gt;"",ISNUMBER(FIND(" MT"," "&amp;A849)),LEFT(A849,5)&lt;&gt;"DESC="),MAX(B$2:B848)+1,"")</f>
        <v/>
      </c>
    </row>
    <row r="850" customFormat="false" ht="15" hidden="false" customHeight="false" outlineLevel="0" collapsed="false">
      <c r="A850" s="4"/>
      <c r="B850" s="5" t="str">
        <f aca="false">IF(AND(TRIM(A850)&lt;&gt;"",ISNUMBER(FIND(" MT"," "&amp;A850)),LEFT(A850,5)&lt;&gt;"DESC="),MAX(B$2:B849)+1,"")</f>
        <v/>
      </c>
    </row>
    <row r="851" customFormat="false" ht="15" hidden="false" customHeight="false" outlineLevel="0" collapsed="false">
      <c r="A851" s="4"/>
      <c r="B851" s="5" t="str">
        <f aca="false">IF(AND(TRIM(A851)&lt;&gt;"",ISNUMBER(FIND(" MT"," "&amp;A851)),LEFT(A851,5)&lt;&gt;"DESC="),MAX(B$2:B850)+1,"")</f>
        <v/>
      </c>
    </row>
    <row r="852" customFormat="false" ht="15" hidden="false" customHeight="false" outlineLevel="0" collapsed="false">
      <c r="A852" s="4"/>
      <c r="B852" s="5" t="str">
        <f aca="false">IF(AND(TRIM(A852)&lt;&gt;"",ISNUMBER(FIND(" MT"," "&amp;A852)),LEFT(A852,5)&lt;&gt;"DESC="),MAX(B$2:B851)+1,"")</f>
        <v/>
      </c>
    </row>
    <row r="853" customFormat="false" ht="15" hidden="false" customHeight="false" outlineLevel="0" collapsed="false">
      <c r="A853" s="4"/>
      <c r="B853" s="5" t="str">
        <f aca="false">IF(AND(TRIM(A853)&lt;&gt;"",ISNUMBER(FIND(" MT"," "&amp;A853)),LEFT(A853,5)&lt;&gt;"DESC="),MAX(B$2:B852)+1,"")</f>
        <v/>
      </c>
    </row>
    <row r="854" customFormat="false" ht="15" hidden="false" customHeight="false" outlineLevel="0" collapsed="false">
      <c r="A854" s="4"/>
      <c r="B854" s="5" t="str">
        <f aca="false">IF(AND(TRIM(A854)&lt;&gt;"",ISNUMBER(FIND(" MT"," "&amp;A854)),LEFT(A854,5)&lt;&gt;"DESC="),MAX(B$2:B853)+1,"")</f>
        <v/>
      </c>
    </row>
    <row r="855" customFormat="false" ht="15" hidden="false" customHeight="false" outlineLevel="0" collapsed="false">
      <c r="A855" s="4"/>
      <c r="B855" s="5" t="str">
        <f aca="false">IF(AND(TRIM(A855)&lt;&gt;"",ISNUMBER(FIND(" MT"," "&amp;A855)),LEFT(A855,5)&lt;&gt;"DESC="),MAX(B$2:B854)+1,"")</f>
        <v/>
      </c>
    </row>
    <row r="856" customFormat="false" ht="15" hidden="false" customHeight="false" outlineLevel="0" collapsed="false">
      <c r="A856" s="4"/>
      <c r="B856" s="5" t="str">
        <f aca="false">IF(AND(TRIM(A856)&lt;&gt;"",ISNUMBER(FIND(" MT"," "&amp;A856)),LEFT(A856,5)&lt;&gt;"DESC="),MAX(B$2:B855)+1,"")</f>
        <v/>
      </c>
    </row>
    <row r="857" customFormat="false" ht="15" hidden="false" customHeight="false" outlineLevel="0" collapsed="false">
      <c r="A857" s="4"/>
      <c r="B857" s="5" t="str">
        <f aca="false">IF(AND(TRIM(A857)&lt;&gt;"",ISNUMBER(FIND(" MT"," "&amp;A857)),LEFT(A857,5)&lt;&gt;"DESC="),MAX(B$2:B856)+1,"")</f>
        <v/>
      </c>
    </row>
    <row r="858" customFormat="false" ht="15" hidden="false" customHeight="false" outlineLevel="0" collapsed="false">
      <c r="A858" s="4"/>
      <c r="B858" s="5" t="str">
        <f aca="false">IF(AND(TRIM(A858)&lt;&gt;"",ISNUMBER(FIND(" MT"," "&amp;A858)),LEFT(A858,5)&lt;&gt;"DESC="),MAX(B$2:B857)+1,"")</f>
        <v/>
      </c>
    </row>
    <row r="859" customFormat="false" ht="15" hidden="false" customHeight="false" outlineLevel="0" collapsed="false">
      <c r="A859" s="4"/>
      <c r="B859" s="5" t="str">
        <f aca="false">IF(AND(TRIM(A859)&lt;&gt;"",ISNUMBER(FIND(" MT"," "&amp;A859)),LEFT(A859,5)&lt;&gt;"DESC="),MAX(B$2:B858)+1,"")</f>
        <v/>
      </c>
    </row>
    <row r="860" customFormat="false" ht="15" hidden="false" customHeight="false" outlineLevel="0" collapsed="false">
      <c r="A860" s="4"/>
      <c r="B860" s="5" t="str">
        <f aca="false">IF(AND(TRIM(A860)&lt;&gt;"",ISNUMBER(FIND(" MT"," "&amp;A860)),LEFT(A860,5)&lt;&gt;"DESC="),MAX(B$2:B859)+1,"")</f>
        <v/>
      </c>
    </row>
    <row r="861" customFormat="false" ht="15" hidden="false" customHeight="false" outlineLevel="0" collapsed="false">
      <c r="A861" s="4"/>
      <c r="B861" s="5" t="str">
        <f aca="false">IF(AND(TRIM(A861)&lt;&gt;"",ISNUMBER(FIND(" MT"," "&amp;A861)),LEFT(A861,5)&lt;&gt;"DESC="),MAX(B$2:B860)+1,"")</f>
        <v/>
      </c>
    </row>
    <row r="862" customFormat="false" ht="15" hidden="false" customHeight="false" outlineLevel="0" collapsed="false">
      <c r="A862" s="4"/>
      <c r="B862" s="5" t="str">
        <f aca="false">IF(AND(TRIM(A862)&lt;&gt;"",ISNUMBER(FIND(" MT"," "&amp;A862)),LEFT(A862,5)&lt;&gt;"DESC="),MAX(B$2:B861)+1,"")</f>
        <v/>
      </c>
    </row>
    <row r="863" customFormat="false" ht="15" hidden="false" customHeight="false" outlineLevel="0" collapsed="false">
      <c r="A863" s="4"/>
      <c r="B863" s="5" t="str">
        <f aca="false">IF(AND(TRIM(A863)&lt;&gt;"",ISNUMBER(FIND(" MT"," "&amp;A863)),LEFT(A863,5)&lt;&gt;"DESC="),MAX(B$2:B862)+1,"")</f>
        <v/>
      </c>
    </row>
    <row r="864" customFormat="false" ht="15" hidden="false" customHeight="false" outlineLevel="0" collapsed="false">
      <c r="A864" s="4"/>
      <c r="B864" s="5" t="str">
        <f aca="false">IF(AND(TRIM(A864)&lt;&gt;"",ISNUMBER(FIND(" MT"," "&amp;A864)),LEFT(A864,5)&lt;&gt;"DESC="),MAX(B$2:B863)+1,"")</f>
        <v/>
      </c>
    </row>
    <row r="865" customFormat="false" ht="15" hidden="false" customHeight="false" outlineLevel="0" collapsed="false">
      <c r="A865" s="4"/>
      <c r="B865" s="5" t="str">
        <f aca="false">IF(AND(TRIM(A865)&lt;&gt;"",ISNUMBER(FIND(" MT"," "&amp;A865)),LEFT(A865,5)&lt;&gt;"DESC="),MAX(B$2:B864)+1,"")</f>
        <v/>
      </c>
    </row>
    <row r="866" customFormat="false" ht="15" hidden="false" customHeight="false" outlineLevel="0" collapsed="false">
      <c r="A866" s="4"/>
      <c r="B866" s="5" t="str">
        <f aca="false">IF(AND(TRIM(A866)&lt;&gt;"",ISNUMBER(FIND(" MT"," "&amp;A866)),LEFT(A866,5)&lt;&gt;"DESC="),MAX(B$2:B865)+1,"")</f>
        <v/>
      </c>
    </row>
    <row r="867" customFormat="false" ht="15" hidden="false" customHeight="false" outlineLevel="0" collapsed="false">
      <c r="A867" s="4"/>
      <c r="B867" s="5" t="str">
        <f aca="false">IF(AND(TRIM(A867)&lt;&gt;"",ISNUMBER(FIND(" MT"," "&amp;A867)),LEFT(A867,5)&lt;&gt;"DESC="),MAX(B$2:B866)+1,"")</f>
        <v/>
      </c>
    </row>
    <row r="868" customFormat="false" ht="15" hidden="false" customHeight="false" outlineLevel="0" collapsed="false">
      <c r="A868" s="4"/>
      <c r="B868" s="5" t="str">
        <f aca="false">IF(AND(TRIM(A868)&lt;&gt;"",ISNUMBER(FIND(" MT"," "&amp;A868)),LEFT(A868,5)&lt;&gt;"DESC="),MAX(B$2:B867)+1,"")</f>
        <v/>
      </c>
    </row>
    <row r="869" customFormat="false" ht="15" hidden="false" customHeight="false" outlineLevel="0" collapsed="false">
      <c r="A869" s="4"/>
      <c r="B869" s="5" t="str">
        <f aca="false">IF(AND(TRIM(A869)&lt;&gt;"",ISNUMBER(FIND(" MT"," "&amp;A869)),LEFT(A869,5)&lt;&gt;"DESC="),MAX(B$2:B868)+1,"")</f>
        <v/>
      </c>
    </row>
    <row r="870" customFormat="false" ht="15" hidden="false" customHeight="false" outlineLevel="0" collapsed="false">
      <c r="A870" s="4"/>
      <c r="B870" s="5" t="str">
        <f aca="false">IF(AND(TRIM(A870)&lt;&gt;"",ISNUMBER(FIND(" MT"," "&amp;A870)),LEFT(A870,5)&lt;&gt;"DESC="),MAX(B$2:B869)+1,"")</f>
        <v/>
      </c>
    </row>
    <row r="871" customFormat="false" ht="15" hidden="false" customHeight="false" outlineLevel="0" collapsed="false">
      <c r="A871" s="4"/>
      <c r="B871" s="5" t="str">
        <f aca="false">IF(AND(TRIM(A871)&lt;&gt;"",ISNUMBER(FIND(" MT"," "&amp;A871)),LEFT(A871,5)&lt;&gt;"DESC="),MAX(B$2:B870)+1,"")</f>
        <v/>
      </c>
    </row>
    <row r="872" customFormat="false" ht="15" hidden="false" customHeight="false" outlineLevel="0" collapsed="false">
      <c r="A872" s="4"/>
      <c r="B872" s="5" t="str">
        <f aca="false">IF(AND(TRIM(A872)&lt;&gt;"",ISNUMBER(FIND(" MT"," "&amp;A872)),LEFT(A872,5)&lt;&gt;"DESC="),MAX(B$2:B871)+1,"")</f>
        <v/>
      </c>
    </row>
    <row r="873" customFormat="false" ht="15" hidden="false" customHeight="false" outlineLevel="0" collapsed="false">
      <c r="A873" s="4"/>
      <c r="B873" s="5" t="str">
        <f aca="false">IF(AND(TRIM(A873)&lt;&gt;"",ISNUMBER(FIND(" MT"," "&amp;A873)),LEFT(A873,5)&lt;&gt;"DESC="),MAX(B$2:B872)+1,"")</f>
        <v/>
      </c>
    </row>
    <row r="874" customFormat="false" ht="15" hidden="false" customHeight="false" outlineLevel="0" collapsed="false">
      <c r="A874" s="4"/>
      <c r="B874" s="5" t="str">
        <f aca="false">IF(AND(TRIM(A874)&lt;&gt;"",ISNUMBER(FIND(" MT"," "&amp;A874)),LEFT(A874,5)&lt;&gt;"DESC="),MAX(B$2:B873)+1,"")</f>
        <v/>
      </c>
    </row>
    <row r="875" customFormat="false" ht="15" hidden="false" customHeight="false" outlineLevel="0" collapsed="false">
      <c r="A875" s="4"/>
      <c r="B875" s="5" t="str">
        <f aca="false">IF(AND(TRIM(A875)&lt;&gt;"",ISNUMBER(FIND(" MT"," "&amp;A875)),LEFT(A875,5)&lt;&gt;"DESC="),MAX(B$2:B874)+1,"")</f>
        <v/>
      </c>
    </row>
    <row r="876" customFormat="false" ht="15" hidden="false" customHeight="false" outlineLevel="0" collapsed="false">
      <c r="A876" s="4"/>
      <c r="B876" s="5" t="str">
        <f aca="false">IF(AND(TRIM(A876)&lt;&gt;"",ISNUMBER(FIND(" MT"," "&amp;A876)),LEFT(A876,5)&lt;&gt;"DESC="),MAX(B$2:B875)+1,"")</f>
        <v/>
      </c>
    </row>
    <row r="877" customFormat="false" ht="15" hidden="false" customHeight="false" outlineLevel="0" collapsed="false">
      <c r="A877" s="4"/>
      <c r="B877" s="5" t="str">
        <f aca="false">IF(AND(TRIM(A877)&lt;&gt;"",ISNUMBER(FIND(" MT"," "&amp;A877)),LEFT(A877,5)&lt;&gt;"DESC="),MAX(B$2:B876)+1,"")</f>
        <v/>
      </c>
    </row>
    <row r="878" customFormat="false" ht="15" hidden="false" customHeight="false" outlineLevel="0" collapsed="false">
      <c r="A878" s="4"/>
      <c r="B878" s="5" t="str">
        <f aca="false">IF(AND(TRIM(A878)&lt;&gt;"",ISNUMBER(FIND(" MT"," "&amp;A878)),LEFT(A878,5)&lt;&gt;"DESC="),MAX(B$2:B877)+1,"")</f>
        <v/>
      </c>
    </row>
    <row r="879" customFormat="false" ht="15" hidden="false" customHeight="false" outlineLevel="0" collapsed="false">
      <c r="A879" s="4"/>
      <c r="B879" s="5" t="str">
        <f aca="false">IF(AND(TRIM(A879)&lt;&gt;"",ISNUMBER(FIND(" MT"," "&amp;A879)),LEFT(A879,5)&lt;&gt;"DESC="),MAX(B$2:B878)+1,"")</f>
        <v/>
      </c>
    </row>
    <row r="880" customFormat="false" ht="15" hidden="false" customHeight="false" outlineLevel="0" collapsed="false">
      <c r="A880" s="4"/>
      <c r="B880" s="5" t="str">
        <f aca="false">IF(AND(TRIM(A880)&lt;&gt;"",ISNUMBER(FIND(" MT"," "&amp;A880)),LEFT(A880,5)&lt;&gt;"DESC="),MAX(B$2:B879)+1,"")</f>
        <v/>
      </c>
    </row>
    <row r="881" customFormat="false" ht="15" hidden="false" customHeight="false" outlineLevel="0" collapsed="false">
      <c r="A881" s="4"/>
      <c r="B881" s="5" t="str">
        <f aca="false">IF(AND(TRIM(A881)&lt;&gt;"",ISNUMBER(FIND(" MT"," "&amp;A881)),LEFT(A881,5)&lt;&gt;"DESC="),MAX(B$2:B880)+1,"")</f>
        <v/>
      </c>
    </row>
    <row r="882" customFormat="false" ht="15" hidden="false" customHeight="false" outlineLevel="0" collapsed="false">
      <c r="A882" s="4"/>
      <c r="B882" s="5" t="str">
        <f aca="false">IF(AND(TRIM(A882)&lt;&gt;"",ISNUMBER(FIND(" MT"," "&amp;A882)),LEFT(A882,5)&lt;&gt;"DESC="),MAX(B$2:B881)+1,"")</f>
        <v/>
      </c>
    </row>
    <row r="883" customFormat="false" ht="15" hidden="false" customHeight="false" outlineLevel="0" collapsed="false">
      <c r="A883" s="4"/>
      <c r="B883" s="5" t="str">
        <f aca="false">IF(AND(TRIM(A883)&lt;&gt;"",ISNUMBER(FIND(" MT"," "&amp;A883)),LEFT(A883,5)&lt;&gt;"DESC="),MAX(B$2:B882)+1,"")</f>
        <v/>
      </c>
    </row>
    <row r="884" customFormat="false" ht="15" hidden="false" customHeight="false" outlineLevel="0" collapsed="false">
      <c r="A884" s="4"/>
      <c r="B884" s="5" t="str">
        <f aca="false">IF(AND(TRIM(A884)&lt;&gt;"",ISNUMBER(FIND(" MT"," "&amp;A884)),LEFT(A884,5)&lt;&gt;"DESC="),MAX(B$2:B883)+1,"")</f>
        <v/>
      </c>
    </row>
    <row r="885" customFormat="false" ht="15" hidden="false" customHeight="false" outlineLevel="0" collapsed="false">
      <c r="A885" s="4"/>
      <c r="B885" s="5" t="str">
        <f aca="false">IF(AND(TRIM(A885)&lt;&gt;"",ISNUMBER(FIND(" MT"," "&amp;A885)),LEFT(A885,5)&lt;&gt;"DESC="),MAX(B$2:B884)+1,"")</f>
        <v/>
      </c>
    </row>
    <row r="886" customFormat="false" ht="15" hidden="false" customHeight="false" outlineLevel="0" collapsed="false">
      <c r="A886" s="4"/>
      <c r="B886" s="5" t="str">
        <f aca="false">IF(AND(TRIM(A886)&lt;&gt;"",ISNUMBER(FIND(" MT"," "&amp;A886)),LEFT(A886,5)&lt;&gt;"DESC="),MAX(B$2:B885)+1,"")</f>
        <v/>
      </c>
    </row>
    <row r="887" customFormat="false" ht="15" hidden="false" customHeight="false" outlineLevel="0" collapsed="false">
      <c r="A887" s="4"/>
      <c r="B887" s="5" t="str">
        <f aca="false">IF(AND(TRIM(A887)&lt;&gt;"",ISNUMBER(FIND(" MT"," "&amp;A887)),LEFT(A887,5)&lt;&gt;"DESC="),MAX(B$2:B886)+1,"")</f>
        <v/>
      </c>
    </row>
    <row r="888" customFormat="false" ht="15" hidden="false" customHeight="false" outlineLevel="0" collapsed="false">
      <c r="A888" s="4"/>
      <c r="B888" s="5" t="str">
        <f aca="false">IF(AND(TRIM(A888)&lt;&gt;"",ISNUMBER(FIND(" MT"," "&amp;A888)),LEFT(A888,5)&lt;&gt;"DESC="),MAX(B$2:B887)+1,"")</f>
        <v/>
      </c>
    </row>
    <row r="889" customFormat="false" ht="15" hidden="false" customHeight="false" outlineLevel="0" collapsed="false">
      <c r="A889" s="4"/>
      <c r="B889" s="5" t="str">
        <f aca="false">IF(AND(TRIM(A889)&lt;&gt;"",ISNUMBER(FIND(" MT"," "&amp;A889)),LEFT(A889,5)&lt;&gt;"DESC="),MAX(B$2:B888)+1,"")</f>
        <v/>
      </c>
    </row>
    <row r="890" customFormat="false" ht="15" hidden="false" customHeight="false" outlineLevel="0" collapsed="false">
      <c r="A890" s="4"/>
      <c r="B890" s="5" t="str">
        <f aca="false">IF(AND(TRIM(A890)&lt;&gt;"",ISNUMBER(FIND(" MT"," "&amp;A890)),LEFT(A890,5)&lt;&gt;"DESC="),MAX(B$2:B889)+1,"")</f>
        <v/>
      </c>
    </row>
    <row r="891" customFormat="false" ht="15" hidden="false" customHeight="false" outlineLevel="0" collapsed="false">
      <c r="A891" s="4"/>
      <c r="B891" s="5" t="str">
        <f aca="false">IF(AND(TRIM(A891)&lt;&gt;"",ISNUMBER(FIND(" MT"," "&amp;A891)),LEFT(A891,5)&lt;&gt;"DESC="),MAX(B$2:B890)+1,"")</f>
        <v/>
      </c>
    </row>
    <row r="892" customFormat="false" ht="15" hidden="false" customHeight="false" outlineLevel="0" collapsed="false">
      <c r="A892" s="4"/>
      <c r="B892" s="5" t="str">
        <f aca="false">IF(AND(TRIM(A892)&lt;&gt;"",ISNUMBER(FIND(" MT"," "&amp;A892)),LEFT(A892,5)&lt;&gt;"DESC="),MAX(B$2:B891)+1,"")</f>
        <v/>
      </c>
    </row>
    <row r="893" customFormat="false" ht="15" hidden="false" customHeight="false" outlineLevel="0" collapsed="false">
      <c r="A893" s="4"/>
      <c r="B893" s="5" t="str">
        <f aca="false">IF(AND(TRIM(A893)&lt;&gt;"",ISNUMBER(FIND(" MT"," "&amp;A893)),LEFT(A893,5)&lt;&gt;"DESC="),MAX(B$2:B892)+1,"")</f>
        <v/>
      </c>
    </row>
    <row r="894" customFormat="false" ht="15" hidden="false" customHeight="false" outlineLevel="0" collapsed="false">
      <c r="A894" s="4"/>
      <c r="B894" s="5" t="str">
        <f aca="false">IF(AND(TRIM(A894)&lt;&gt;"",ISNUMBER(FIND(" MT"," "&amp;A894)),LEFT(A894,5)&lt;&gt;"DESC="),MAX(B$2:B893)+1,"")</f>
        <v/>
      </c>
    </row>
    <row r="895" customFormat="false" ht="15" hidden="false" customHeight="false" outlineLevel="0" collapsed="false">
      <c r="A895" s="4"/>
      <c r="B895" s="5" t="str">
        <f aca="false">IF(AND(TRIM(A895)&lt;&gt;"",ISNUMBER(FIND(" MT"," "&amp;A895)),LEFT(A895,5)&lt;&gt;"DESC="),MAX(B$2:B894)+1,"")</f>
        <v/>
      </c>
    </row>
    <row r="896" customFormat="false" ht="15" hidden="false" customHeight="false" outlineLevel="0" collapsed="false">
      <c r="A896" s="4"/>
      <c r="B896" s="5" t="str">
        <f aca="false">IF(AND(TRIM(A896)&lt;&gt;"",ISNUMBER(FIND(" MT"," "&amp;A896)),LEFT(A896,5)&lt;&gt;"DESC="),MAX(B$2:B895)+1,"")</f>
        <v/>
      </c>
    </row>
    <row r="897" customFormat="false" ht="15" hidden="false" customHeight="false" outlineLevel="0" collapsed="false">
      <c r="A897" s="4"/>
      <c r="B897" s="5" t="str">
        <f aca="false">IF(AND(TRIM(A897)&lt;&gt;"",ISNUMBER(FIND(" MT"," "&amp;A897)),LEFT(A897,5)&lt;&gt;"DESC="),MAX(B$2:B896)+1,"")</f>
        <v/>
      </c>
    </row>
    <row r="898" customFormat="false" ht="15" hidden="false" customHeight="false" outlineLevel="0" collapsed="false">
      <c r="A898" s="4"/>
      <c r="B898" s="5" t="str">
        <f aca="false">IF(AND(TRIM(A898)&lt;&gt;"",ISNUMBER(FIND(" MT"," "&amp;A898)),LEFT(A898,5)&lt;&gt;"DESC="),MAX(B$2:B897)+1,"")</f>
        <v/>
      </c>
    </row>
    <row r="899" customFormat="false" ht="15" hidden="false" customHeight="false" outlineLevel="0" collapsed="false">
      <c r="A899" s="4"/>
      <c r="B899" s="5" t="str">
        <f aca="false">IF(AND(TRIM(A899)&lt;&gt;"",ISNUMBER(FIND(" MT"," "&amp;A899)),LEFT(A899,5)&lt;&gt;"DESC="),MAX(B$2:B898)+1,"")</f>
        <v/>
      </c>
    </row>
    <row r="900" customFormat="false" ht="15" hidden="false" customHeight="false" outlineLevel="0" collapsed="false">
      <c r="A900" s="4"/>
      <c r="B900" s="5" t="str">
        <f aca="false">IF(AND(TRIM(A900)&lt;&gt;"",ISNUMBER(FIND(" MT"," "&amp;A900)),LEFT(A900,5)&lt;&gt;"DESC="),MAX(B$2:B899)+1,"")</f>
        <v/>
      </c>
    </row>
    <row r="901" customFormat="false" ht="15" hidden="false" customHeight="false" outlineLevel="0" collapsed="false">
      <c r="A901" s="4"/>
      <c r="B901" s="5" t="str">
        <f aca="false">IF(AND(TRIM(A901)&lt;&gt;"",ISNUMBER(FIND(" MT"," "&amp;A901)),LEFT(A901,5)&lt;&gt;"DESC="),MAX(B$2:B900)+1,"")</f>
        <v/>
      </c>
    </row>
    <row r="902" customFormat="false" ht="15" hidden="false" customHeight="false" outlineLevel="0" collapsed="false">
      <c r="A902" s="4"/>
      <c r="B902" s="5" t="str">
        <f aca="false">IF(AND(TRIM(A902)&lt;&gt;"",ISNUMBER(FIND(" MT"," "&amp;A902)),LEFT(A902,5)&lt;&gt;"DESC="),MAX(B$2:B901)+1,"")</f>
        <v/>
      </c>
    </row>
    <row r="903" customFormat="false" ht="15" hidden="false" customHeight="false" outlineLevel="0" collapsed="false">
      <c r="A903" s="4"/>
      <c r="B903" s="5" t="str">
        <f aca="false">IF(AND(TRIM(A903)&lt;&gt;"",ISNUMBER(FIND(" MT"," "&amp;A903)),LEFT(A903,5)&lt;&gt;"DESC="),MAX(B$2:B902)+1,"")</f>
        <v/>
      </c>
    </row>
    <row r="904" customFormat="false" ht="15" hidden="false" customHeight="false" outlineLevel="0" collapsed="false">
      <c r="A904" s="4"/>
      <c r="B904" s="5" t="str">
        <f aca="false">IF(AND(TRIM(A904)&lt;&gt;"",ISNUMBER(FIND(" MT"," "&amp;A904)),LEFT(A904,5)&lt;&gt;"DESC="),MAX(B$2:B903)+1,"")</f>
        <v/>
      </c>
    </row>
    <row r="905" customFormat="false" ht="15" hidden="false" customHeight="false" outlineLevel="0" collapsed="false">
      <c r="A905" s="4"/>
      <c r="B905" s="5" t="str">
        <f aca="false">IF(AND(TRIM(A905)&lt;&gt;"",ISNUMBER(FIND(" MT"," "&amp;A905)),LEFT(A905,5)&lt;&gt;"DESC="),MAX(B$2:B904)+1,"")</f>
        <v/>
      </c>
    </row>
    <row r="906" customFormat="false" ht="15" hidden="false" customHeight="false" outlineLevel="0" collapsed="false">
      <c r="A906" s="4"/>
      <c r="B906" s="5" t="str">
        <f aca="false">IF(AND(TRIM(A906)&lt;&gt;"",ISNUMBER(FIND(" MT"," "&amp;A906)),LEFT(A906,5)&lt;&gt;"DESC="),MAX(B$2:B905)+1,"")</f>
        <v/>
      </c>
    </row>
    <row r="907" customFormat="false" ht="15" hidden="false" customHeight="false" outlineLevel="0" collapsed="false">
      <c r="A907" s="4"/>
      <c r="B907" s="5" t="str">
        <f aca="false">IF(AND(TRIM(A907)&lt;&gt;"",ISNUMBER(FIND(" MT"," "&amp;A907)),LEFT(A907,5)&lt;&gt;"DESC="),MAX(B$2:B906)+1,"")</f>
        <v/>
      </c>
    </row>
    <row r="908" customFormat="false" ht="15" hidden="false" customHeight="false" outlineLevel="0" collapsed="false">
      <c r="A908" s="4"/>
      <c r="B908" s="5" t="str">
        <f aca="false">IF(AND(TRIM(A908)&lt;&gt;"",ISNUMBER(FIND(" MT"," "&amp;A908)),LEFT(A908,5)&lt;&gt;"DESC="),MAX(B$2:B907)+1,"")</f>
        <v/>
      </c>
    </row>
    <row r="909" customFormat="false" ht="15" hidden="false" customHeight="false" outlineLevel="0" collapsed="false">
      <c r="A909" s="4"/>
      <c r="B909" s="5" t="str">
        <f aca="false">IF(AND(TRIM(A909)&lt;&gt;"",ISNUMBER(FIND(" MT"," "&amp;A909)),LEFT(A909,5)&lt;&gt;"DESC="),MAX(B$2:B908)+1,"")</f>
        <v/>
      </c>
    </row>
    <row r="910" customFormat="false" ht="15" hidden="false" customHeight="false" outlineLevel="0" collapsed="false">
      <c r="A910" s="4"/>
      <c r="B910" s="5" t="str">
        <f aca="false">IF(AND(TRIM(A910)&lt;&gt;"",ISNUMBER(FIND(" MT"," "&amp;A910)),LEFT(A910,5)&lt;&gt;"DESC="),MAX(B$2:B909)+1,"")</f>
        <v/>
      </c>
    </row>
    <row r="911" customFormat="false" ht="15" hidden="false" customHeight="false" outlineLevel="0" collapsed="false">
      <c r="A911" s="4"/>
      <c r="B911" s="5" t="str">
        <f aca="false">IF(AND(TRIM(A911)&lt;&gt;"",ISNUMBER(FIND(" MT"," "&amp;A911)),LEFT(A911,5)&lt;&gt;"DESC="),MAX(B$2:B910)+1,"")</f>
        <v/>
      </c>
    </row>
    <row r="912" customFormat="false" ht="15" hidden="false" customHeight="false" outlineLevel="0" collapsed="false">
      <c r="A912" s="4"/>
      <c r="B912" s="5" t="str">
        <f aca="false">IF(AND(TRIM(A912)&lt;&gt;"",ISNUMBER(FIND(" MT"," "&amp;A912)),LEFT(A912,5)&lt;&gt;"DESC="),MAX(B$2:B911)+1,"")</f>
        <v/>
      </c>
    </row>
    <row r="913" customFormat="false" ht="15" hidden="false" customHeight="false" outlineLevel="0" collapsed="false">
      <c r="A913" s="4"/>
      <c r="B913" s="5" t="str">
        <f aca="false">IF(AND(TRIM(A913)&lt;&gt;"",ISNUMBER(FIND(" MT"," "&amp;A913)),LEFT(A913,5)&lt;&gt;"DESC="),MAX(B$2:B912)+1,"")</f>
        <v/>
      </c>
    </row>
    <row r="914" customFormat="false" ht="15" hidden="false" customHeight="false" outlineLevel="0" collapsed="false">
      <c r="A914" s="4"/>
      <c r="B914" s="5" t="str">
        <f aca="false">IF(AND(TRIM(A914)&lt;&gt;"",ISNUMBER(FIND(" MT"," "&amp;A914)),LEFT(A914,5)&lt;&gt;"DESC="),MAX(B$2:B913)+1,"")</f>
        <v/>
      </c>
    </row>
    <row r="915" customFormat="false" ht="15" hidden="false" customHeight="false" outlineLevel="0" collapsed="false">
      <c r="A915" s="4"/>
      <c r="B915" s="5" t="str">
        <f aca="false">IF(AND(TRIM(A915)&lt;&gt;"",ISNUMBER(FIND(" MT"," "&amp;A915)),LEFT(A915,5)&lt;&gt;"DESC="),MAX(B$2:B914)+1,"")</f>
        <v/>
      </c>
    </row>
    <row r="916" customFormat="false" ht="15" hidden="false" customHeight="false" outlineLevel="0" collapsed="false">
      <c r="A916" s="4"/>
      <c r="B916" s="5" t="str">
        <f aca="false">IF(AND(TRIM(A916)&lt;&gt;"",ISNUMBER(FIND(" MT"," "&amp;A916)),LEFT(A916,5)&lt;&gt;"DESC="),MAX(B$2:B915)+1,"")</f>
        <v/>
      </c>
    </row>
    <row r="917" customFormat="false" ht="15" hidden="false" customHeight="false" outlineLevel="0" collapsed="false">
      <c r="A917" s="4"/>
      <c r="B917" s="5" t="str">
        <f aca="false">IF(AND(TRIM(A917)&lt;&gt;"",ISNUMBER(FIND(" MT"," "&amp;A917)),LEFT(A917,5)&lt;&gt;"DESC="),MAX(B$2:B916)+1,"")</f>
        <v/>
      </c>
    </row>
    <row r="918" customFormat="false" ht="15" hidden="false" customHeight="false" outlineLevel="0" collapsed="false">
      <c r="A918" s="4"/>
      <c r="B918" s="5" t="str">
        <f aca="false">IF(AND(TRIM(A918)&lt;&gt;"",ISNUMBER(FIND(" MT"," "&amp;A918)),LEFT(A918,5)&lt;&gt;"DESC="),MAX(B$2:B917)+1,"")</f>
        <v/>
      </c>
    </row>
    <row r="919" customFormat="false" ht="15" hidden="false" customHeight="false" outlineLevel="0" collapsed="false">
      <c r="A919" s="4"/>
      <c r="B919" s="5" t="str">
        <f aca="false">IF(AND(TRIM(A919)&lt;&gt;"",ISNUMBER(FIND(" MT"," "&amp;A919)),LEFT(A919,5)&lt;&gt;"DESC="),MAX(B$2:B918)+1,"")</f>
        <v/>
      </c>
    </row>
    <row r="920" customFormat="false" ht="15" hidden="false" customHeight="false" outlineLevel="0" collapsed="false">
      <c r="A920" s="4"/>
      <c r="B920" s="5" t="str">
        <f aca="false">IF(AND(TRIM(A920)&lt;&gt;"",ISNUMBER(FIND(" MT"," "&amp;A920)),LEFT(A920,5)&lt;&gt;"DESC="),MAX(B$2:B919)+1,"")</f>
        <v/>
      </c>
    </row>
    <row r="921" customFormat="false" ht="15" hidden="false" customHeight="false" outlineLevel="0" collapsed="false">
      <c r="A921" s="4"/>
      <c r="B921" s="5" t="str">
        <f aca="false">IF(AND(TRIM(A921)&lt;&gt;"",ISNUMBER(FIND(" MT"," "&amp;A921)),LEFT(A921,5)&lt;&gt;"DESC="),MAX(B$2:B920)+1,"")</f>
        <v/>
      </c>
    </row>
    <row r="922" customFormat="false" ht="15" hidden="false" customHeight="false" outlineLevel="0" collapsed="false">
      <c r="A922" s="4"/>
      <c r="B922" s="5" t="str">
        <f aca="false">IF(AND(TRIM(A922)&lt;&gt;"",ISNUMBER(FIND(" MT"," "&amp;A922)),LEFT(A922,5)&lt;&gt;"DESC="),MAX(B$2:B921)+1,"")</f>
        <v/>
      </c>
    </row>
    <row r="923" customFormat="false" ht="15" hidden="false" customHeight="false" outlineLevel="0" collapsed="false">
      <c r="A923" s="4"/>
      <c r="B923" s="5" t="str">
        <f aca="false">IF(AND(TRIM(A923)&lt;&gt;"",ISNUMBER(FIND(" MT"," "&amp;A923)),LEFT(A923,5)&lt;&gt;"DESC="),MAX(B$2:B922)+1,"")</f>
        <v/>
      </c>
    </row>
    <row r="924" customFormat="false" ht="15" hidden="false" customHeight="false" outlineLevel="0" collapsed="false">
      <c r="A924" s="4"/>
      <c r="B924" s="5" t="str">
        <f aca="false">IF(AND(TRIM(A924)&lt;&gt;"",ISNUMBER(FIND(" MT"," "&amp;A924)),LEFT(A924,5)&lt;&gt;"DESC="),MAX(B$2:B923)+1,"")</f>
        <v/>
      </c>
    </row>
    <row r="925" customFormat="false" ht="15" hidden="false" customHeight="false" outlineLevel="0" collapsed="false">
      <c r="A925" s="4"/>
      <c r="B925" s="5" t="str">
        <f aca="false">IF(AND(TRIM(A925)&lt;&gt;"",ISNUMBER(FIND(" MT"," "&amp;A925)),LEFT(A925,5)&lt;&gt;"DESC="),MAX(B$2:B924)+1,"")</f>
        <v/>
      </c>
    </row>
    <row r="926" customFormat="false" ht="15" hidden="false" customHeight="false" outlineLevel="0" collapsed="false">
      <c r="A926" s="4"/>
      <c r="B926" s="5" t="str">
        <f aca="false">IF(AND(TRIM(A926)&lt;&gt;"",ISNUMBER(FIND(" MT"," "&amp;A926)),LEFT(A926,5)&lt;&gt;"DESC="),MAX(B$2:B925)+1,"")</f>
        <v/>
      </c>
    </row>
    <row r="927" customFormat="false" ht="15" hidden="false" customHeight="false" outlineLevel="0" collapsed="false">
      <c r="A927" s="4"/>
      <c r="B927" s="5" t="str">
        <f aca="false">IF(AND(TRIM(A927)&lt;&gt;"",ISNUMBER(FIND(" MT"," "&amp;A927)),LEFT(A927,5)&lt;&gt;"DESC="),MAX(B$2:B926)+1,"")</f>
        <v/>
      </c>
    </row>
    <row r="928" customFormat="false" ht="15" hidden="false" customHeight="false" outlineLevel="0" collapsed="false">
      <c r="A928" s="4"/>
      <c r="B928" s="5" t="str">
        <f aca="false">IF(AND(TRIM(A928)&lt;&gt;"",ISNUMBER(FIND(" MT"," "&amp;A928)),LEFT(A928,5)&lt;&gt;"DESC="),MAX(B$2:B927)+1,"")</f>
        <v/>
      </c>
    </row>
    <row r="929" customFormat="false" ht="15" hidden="false" customHeight="false" outlineLevel="0" collapsed="false">
      <c r="A929" s="4"/>
      <c r="B929" s="5" t="str">
        <f aca="false">IF(AND(TRIM(A929)&lt;&gt;"",ISNUMBER(FIND(" MT"," "&amp;A929)),LEFT(A929,5)&lt;&gt;"DESC="),MAX(B$2:B928)+1,"")</f>
        <v/>
      </c>
    </row>
    <row r="930" customFormat="false" ht="15" hidden="false" customHeight="false" outlineLevel="0" collapsed="false">
      <c r="A930" s="4"/>
      <c r="B930" s="5" t="str">
        <f aca="false">IF(AND(TRIM(A930)&lt;&gt;"",ISNUMBER(FIND(" MT"," "&amp;A930)),LEFT(A930,5)&lt;&gt;"DESC="),MAX(B$2:B929)+1,"")</f>
        <v/>
      </c>
    </row>
    <row r="931" customFormat="false" ht="15" hidden="false" customHeight="false" outlineLevel="0" collapsed="false">
      <c r="A931" s="4"/>
      <c r="B931" s="5" t="str">
        <f aca="false">IF(AND(TRIM(A931)&lt;&gt;"",ISNUMBER(FIND(" MT"," "&amp;A931)),LEFT(A931,5)&lt;&gt;"DESC="),MAX(B$2:B930)+1,"")</f>
        <v/>
      </c>
    </row>
    <row r="932" customFormat="false" ht="15" hidden="false" customHeight="false" outlineLevel="0" collapsed="false">
      <c r="A932" s="4"/>
      <c r="B932" s="5" t="str">
        <f aca="false">IF(AND(TRIM(A932)&lt;&gt;"",ISNUMBER(FIND(" MT"," "&amp;A932)),LEFT(A932,5)&lt;&gt;"DESC="),MAX(B$2:B931)+1,"")</f>
        <v/>
      </c>
    </row>
    <row r="933" customFormat="false" ht="15" hidden="false" customHeight="false" outlineLevel="0" collapsed="false">
      <c r="A933" s="4"/>
      <c r="B933" s="5" t="str">
        <f aca="false">IF(AND(TRIM(A933)&lt;&gt;"",ISNUMBER(FIND(" MT"," "&amp;A933)),LEFT(A933,5)&lt;&gt;"DESC="),MAX(B$2:B932)+1,"")</f>
        <v/>
      </c>
    </row>
    <row r="934" customFormat="false" ht="15" hidden="false" customHeight="false" outlineLevel="0" collapsed="false">
      <c r="A934" s="4"/>
      <c r="B934" s="5" t="str">
        <f aca="false">IF(AND(TRIM(A934)&lt;&gt;"",ISNUMBER(FIND(" MT"," "&amp;A934)),LEFT(A934,5)&lt;&gt;"DESC="),MAX(B$2:B933)+1,"")</f>
        <v/>
      </c>
    </row>
    <row r="935" customFormat="false" ht="15" hidden="false" customHeight="false" outlineLevel="0" collapsed="false">
      <c r="A935" s="4"/>
      <c r="B935" s="5" t="str">
        <f aca="false">IF(AND(TRIM(A935)&lt;&gt;"",ISNUMBER(FIND(" MT"," "&amp;A935)),LEFT(A935,5)&lt;&gt;"DESC="),MAX(B$2:B934)+1,"")</f>
        <v/>
      </c>
    </row>
    <row r="936" customFormat="false" ht="15" hidden="false" customHeight="false" outlineLevel="0" collapsed="false">
      <c r="A936" s="4"/>
      <c r="B936" s="5" t="str">
        <f aca="false">IF(AND(TRIM(A936)&lt;&gt;"",ISNUMBER(FIND(" MT"," "&amp;A936)),LEFT(A936,5)&lt;&gt;"DESC="),MAX(B$2:B935)+1,"")</f>
        <v/>
      </c>
    </row>
    <row r="937" customFormat="false" ht="15" hidden="false" customHeight="false" outlineLevel="0" collapsed="false">
      <c r="A937" s="4"/>
      <c r="B937" s="5" t="str">
        <f aca="false">IF(AND(TRIM(A937)&lt;&gt;"",ISNUMBER(FIND(" MT"," "&amp;A937)),LEFT(A937,5)&lt;&gt;"DESC="),MAX(B$2:B936)+1,"")</f>
        <v/>
      </c>
    </row>
    <row r="938" customFormat="false" ht="15" hidden="false" customHeight="false" outlineLevel="0" collapsed="false">
      <c r="A938" s="4"/>
      <c r="B938" s="5" t="str">
        <f aca="false">IF(AND(TRIM(A938)&lt;&gt;"",ISNUMBER(FIND(" MT"," "&amp;A938)),LEFT(A938,5)&lt;&gt;"DESC="),MAX(B$2:B937)+1,"")</f>
        <v/>
      </c>
    </row>
    <row r="939" customFormat="false" ht="15" hidden="false" customHeight="false" outlineLevel="0" collapsed="false">
      <c r="A939" s="4"/>
      <c r="B939" s="5" t="str">
        <f aca="false">IF(AND(TRIM(A939)&lt;&gt;"",ISNUMBER(FIND(" MT"," "&amp;A939)),LEFT(A939,5)&lt;&gt;"DESC="),MAX(B$2:B938)+1,"")</f>
        <v/>
      </c>
    </row>
    <row r="940" customFormat="false" ht="15" hidden="false" customHeight="false" outlineLevel="0" collapsed="false">
      <c r="A940" s="4"/>
      <c r="B940" s="5" t="str">
        <f aca="false">IF(AND(TRIM(A940)&lt;&gt;"",ISNUMBER(FIND(" MT"," "&amp;A940)),LEFT(A940,5)&lt;&gt;"DESC="),MAX(B$2:B939)+1,"")</f>
        <v/>
      </c>
    </row>
    <row r="941" customFormat="false" ht="15" hidden="false" customHeight="false" outlineLevel="0" collapsed="false">
      <c r="A941" s="4"/>
      <c r="B941" s="5" t="str">
        <f aca="false">IF(AND(TRIM(A941)&lt;&gt;"",ISNUMBER(FIND(" MT"," "&amp;A941)),LEFT(A941,5)&lt;&gt;"DESC="),MAX(B$2:B940)+1,"")</f>
        <v/>
      </c>
    </row>
    <row r="942" customFormat="false" ht="15" hidden="false" customHeight="false" outlineLevel="0" collapsed="false">
      <c r="A942" s="4"/>
      <c r="B942" s="5" t="str">
        <f aca="false">IF(AND(TRIM(A942)&lt;&gt;"",ISNUMBER(FIND(" MT"," "&amp;A942)),LEFT(A942,5)&lt;&gt;"DESC="),MAX(B$2:B941)+1,"")</f>
        <v/>
      </c>
    </row>
    <row r="943" customFormat="false" ht="15" hidden="false" customHeight="false" outlineLevel="0" collapsed="false">
      <c r="A943" s="4"/>
      <c r="B943" s="5" t="str">
        <f aca="false">IF(AND(TRIM(A943)&lt;&gt;"",ISNUMBER(FIND(" MT"," "&amp;A943)),LEFT(A943,5)&lt;&gt;"DESC="),MAX(B$2:B942)+1,"")</f>
        <v/>
      </c>
    </row>
    <row r="944" customFormat="false" ht="15" hidden="false" customHeight="false" outlineLevel="0" collapsed="false">
      <c r="A944" s="4"/>
      <c r="B944" s="5" t="str">
        <f aca="false">IF(AND(TRIM(A944)&lt;&gt;"",ISNUMBER(FIND(" MT"," "&amp;A944)),LEFT(A944,5)&lt;&gt;"DESC="),MAX(B$2:B943)+1,"")</f>
        <v/>
      </c>
    </row>
    <row r="945" customFormat="false" ht="15" hidden="false" customHeight="false" outlineLevel="0" collapsed="false">
      <c r="A945" s="4"/>
      <c r="B945" s="5" t="str">
        <f aca="false">IF(AND(TRIM(A945)&lt;&gt;"",ISNUMBER(FIND(" MT"," "&amp;A945)),LEFT(A945,5)&lt;&gt;"DESC="),MAX(B$2:B944)+1,"")</f>
        <v/>
      </c>
    </row>
    <row r="946" customFormat="false" ht="15" hidden="false" customHeight="false" outlineLevel="0" collapsed="false">
      <c r="A946" s="4"/>
      <c r="B946" s="5" t="str">
        <f aca="false">IF(AND(TRIM(A946)&lt;&gt;"",ISNUMBER(FIND(" MT"," "&amp;A946)),LEFT(A946,5)&lt;&gt;"DESC="),MAX(B$2:B945)+1,"")</f>
        <v/>
      </c>
    </row>
    <row r="947" customFormat="false" ht="15" hidden="false" customHeight="false" outlineLevel="0" collapsed="false">
      <c r="A947" s="4"/>
      <c r="B947" s="5" t="str">
        <f aca="false">IF(AND(TRIM(A947)&lt;&gt;"",ISNUMBER(FIND(" MT"," "&amp;A947)),LEFT(A947,5)&lt;&gt;"DESC="),MAX(B$2:B946)+1,"")</f>
        <v/>
      </c>
    </row>
    <row r="948" customFormat="false" ht="15" hidden="false" customHeight="false" outlineLevel="0" collapsed="false">
      <c r="A948" s="4"/>
      <c r="B948" s="5" t="str">
        <f aca="false">IF(AND(TRIM(A948)&lt;&gt;"",ISNUMBER(FIND(" MT"," "&amp;A948)),LEFT(A948,5)&lt;&gt;"DESC="),MAX(B$2:B947)+1,"")</f>
        <v/>
      </c>
    </row>
    <row r="949" customFormat="false" ht="15" hidden="false" customHeight="false" outlineLevel="0" collapsed="false">
      <c r="A949" s="4"/>
      <c r="B949" s="5" t="str">
        <f aca="false">IF(AND(TRIM(A949)&lt;&gt;"",ISNUMBER(FIND(" MT"," "&amp;A949)),LEFT(A949,5)&lt;&gt;"DESC="),MAX(B$2:B948)+1,"")</f>
        <v/>
      </c>
    </row>
    <row r="950" customFormat="false" ht="15" hidden="false" customHeight="false" outlineLevel="0" collapsed="false">
      <c r="A950" s="4"/>
      <c r="B950" s="5" t="str">
        <f aca="false">IF(AND(TRIM(A950)&lt;&gt;"",ISNUMBER(FIND(" MT"," "&amp;A950)),LEFT(A950,5)&lt;&gt;"DESC="),MAX(B$2:B949)+1,"")</f>
        <v/>
      </c>
    </row>
    <row r="951" customFormat="false" ht="15" hidden="false" customHeight="false" outlineLevel="0" collapsed="false">
      <c r="A951" s="4"/>
      <c r="B951" s="5" t="str">
        <f aca="false">IF(AND(TRIM(A951)&lt;&gt;"",ISNUMBER(FIND(" MT"," "&amp;A951)),LEFT(A951,5)&lt;&gt;"DESC="),MAX(B$2:B950)+1,"")</f>
        <v/>
      </c>
    </row>
    <row r="952" customFormat="false" ht="15" hidden="false" customHeight="false" outlineLevel="0" collapsed="false">
      <c r="A952" s="4"/>
      <c r="B952" s="5" t="str">
        <f aca="false">IF(AND(TRIM(A952)&lt;&gt;"",ISNUMBER(FIND(" MT"," "&amp;A952)),LEFT(A952,5)&lt;&gt;"DESC="),MAX(B$2:B951)+1,"")</f>
        <v/>
      </c>
    </row>
    <row r="953" customFormat="false" ht="15" hidden="false" customHeight="false" outlineLevel="0" collapsed="false">
      <c r="A953" s="4"/>
      <c r="B953" s="5" t="str">
        <f aca="false">IF(AND(TRIM(A953)&lt;&gt;"",ISNUMBER(FIND(" MT"," "&amp;A953)),LEFT(A953,5)&lt;&gt;"DESC="),MAX(B$2:B952)+1,"")</f>
        <v/>
      </c>
    </row>
    <row r="954" customFormat="false" ht="15" hidden="false" customHeight="false" outlineLevel="0" collapsed="false">
      <c r="A954" s="4"/>
      <c r="B954" s="5" t="str">
        <f aca="false">IF(AND(TRIM(A954)&lt;&gt;"",ISNUMBER(FIND(" MT"," "&amp;A954)),LEFT(A954,5)&lt;&gt;"DESC="),MAX(B$2:B953)+1,"")</f>
        <v/>
      </c>
    </row>
    <row r="955" customFormat="false" ht="15" hidden="false" customHeight="false" outlineLevel="0" collapsed="false">
      <c r="A955" s="4"/>
      <c r="B955" s="5" t="str">
        <f aca="false">IF(AND(TRIM(A955)&lt;&gt;"",ISNUMBER(FIND(" MT"," "&amp;A955)),LEFT(A955,5)&lt;&gt;"DESC="),MAX(B$2:B954)+1,"")</f>
        <v/>
      </c>
    </row>
    <row r="956" customFormat="false" ht="15" hidden="false" customHeight="false" outlineLevel="0" collapsed="false">
      <c r="A956" s="4"/>
      <c r="B956" s="5" t="str">
        <f aca="false">IF(AND(TRIM(A956)&lt;&gt;"",ISNUMBER(FIND(" MT"," "&amp;A956)),LEFT(A956,5)&lt;&gt;"DESC="),MAX(B$2:B955)+1,"")</f>
        <v/>
      </c>
    </row>
    <row r="957" customFormat="false" ht="15" hidden="false" customHeight="false" outlineLevel="0" collapsed="false">
      <c r="A957" s="4"/>
      <c r="B957" s="5" t="str">
        <f aca="false">IF(AND(TRIM(A957)&lt;&gt;"",ISNUMBER(FIND(" MT"," "&amp;A957)),LEFT(A957,5)&lt;&gt;"DESC="),MAX(B$2:B956)+1,"")</f>
        <v/>
      </c>
    </row>
    <row r="958" customFormat="false" ht="15" hidden="false" customHeight="false" outlineLevel="0" collapsed="false">
      <c r="A958" s="4"/>
      <c r="B958" s="5" t="str">
        <f aca="false">IF(AND(TRIM(A958)&lt;&gt;"",ISNUMBER(FIND(" MT"," "&amp;A958)),LEFT(A958,5)&lt;&gt;"DESC="),MAX(B$2:B957)+1,"")</f>
        <v/>
      </c>
    </row>
    <row r="959" customFormat="false" ht="15" hidden="false" customHeight="false" outlineLevel="0" collapsed="false">
      <c r="A959" s="4"/>
      <c r="B959" s="5" t="str">
        <f aca="false">IF(AND(TRIM(A959)&lt;&gt;"",ISNUMBER(FIND(" MT"," "&amp;A959)),LEFT(A959,5)&lt;&gt;"DESC="),MAX(B$2:B958)+1,"")</f>
        <v/>
      </c>
    </row>
    <row r="960" customFormat="false" ht="15" hidden="false" customHeight="false" outlineLevel="0" collapsed="false">
      <c r="A960" s="4"/>
      <c r="B960" s="5" t="str">
        <f aca="false">IF(AND(TRIM(A960)&lt;&gt;"",ISNUMBER(FIND(" MT"," "&amp;A960)),LEFT(A960,5)&lt;&gt;"DESC="),MAX(B$2:B959)+1,"")</f>
        <v/>
      </c>
    </row>
    <row r="961" customFormat="false" ht="15" hidden="false" customHeight="false" outlineLevel="0" collapsed="false">
      <c r="A961" s="4"/>
      <c r="B961" s="5" t="str">
        <f aca="false">IF(AND(TRIM(A961)&lt;&gt;"",ISNUMBER(FIND(" MT"," "&amp;A961)),LEFT(A961,5)&lt;&gt;"DESC="),MAX(B$2:B960)+1,"")</f>
        <v/>
      </c>
    </row>
    <row r="962" customFormat="false" ht="15" hidden="false" customHeight="false" outlineLevel="0" collapsed="false">
      <c r="A962" s="4"/>
      <c r="B962" s="5" t="str">
        <f aca="false">IF(AND(TRIM(A962)&lt;&gt;"",ISNUMBER(FIND(" MT"," "&amp;A962)),LEFT(A962,5)&lt;&gt;"DESC="),MAX(B$2:B961)+1,"")</f>
        <v/>
      </c>
    </row>
    <row r="963" customFormat="false" ht="15" hidden="false" customHeight="false" outlineLevel="0" collapsed="false">
      <c r="A963" s="4"/>
      <c r="B963" s="5" t="str">
        <f aca="false">IF(AND(TRIM(A963)&lt;&gt;"",ISNUMBER(FIND(" MT"," "&amp;A963)),LEFT(A963,5)&lt;&gt;"DESC="),MAX(B$2:B962)+1,"")</f>
        <v/>
      </c>
    </row>
    <row r="964" customFormat="false" ht="15" hidden="false" customHeight="false" outlineLevel="0" collapsed="false">
      <c r="A964" s="4"/>
      <c r="B964" s="5" t="str">
        <f aca="false">IF(AND(TRIM(A964)&lt;&gt;"",ISNUMBER(FIND(" MT"," "&amp;A964)),LEFT(A964,5)&lt;&gt;"DESC="),MAX(B$2:B963)+1,"")</f>
        <v/>
      </c>
    </row>
    <row r="965" customFormat="false" ht="15" hidden="false" customHeight="false" outlineLevel="0" collapsed="false">
      <c r="A965" s="4"/>
      <c r="B965" s="5" t="str">
        <f aca="false">IF(AND(TRIM(A965)&lt;&gt;"",ISNUMBER(FIND(" MT"," "&amp;A965)),LEFT(A965,5)&lt;&gt;"DESC="),MAX(B$2:B964)+1,"")</f>
        <v/>
      </c>
    </row>
    <row r="966" customFormat="false" ht="15" hidden="false" customHeight="false" outlineLevel="0" collapsed="false">
      <c r="A966" s="4"/>
      <c r="B966" s="5" t="str">
        <f aca="false">IF(AND(TRIM(A966)&lt;&gt;"",ISNUMBER(FIND(" MT"," "&amp;A966)),LEFT(A966,5)&lt;&gt;"DESC="),MAX(B$2:B965)+1,"")</f>
        <v/>
      </c>
    </row>
    <row r="967" customFormat="false" ht="15" hidden="false" customHeight="false" outlineLevel="0" collapsed="false">
      <c r="A967" s="4"/>
      <c r="B967" s="5" t="str">
        <f aca="false">IF(AND(TRIM(A967)&lt;&gt;"",ISNUMBER(FIND(" MT"," "&amp;A967)),LEFT(A967,5)&lt;&gt;"DESC="),MAX(B$2:B966)+1,"")</f>
        <v/>
      </c>
    </row>
    <row r="968" customFormat="false" ht="15" hidden="false" customHeight="false" outlineLevel="0" collapsed="false">
      <c r="A968" s="4"/>
      <c r="B968" s="5" t="str">
        <f aca="false">IF(AND(TRIM(A968)&lt;&gt;"",ISNUMBER(FIND(" MT"," "&amp;A968)),LEFT(A968,5)&lt;&gt;"DESC="),MAX(B$2:B967)+1,"")</f>
        <v/>
      </c>
    </row>
    <row r="969" customFormat="false" ht="15" hidden="false" customHeight="false" outlineLevel="0" collapsed="false">
      <c r="A969" s="4"/>
      <c r="B969" s="5" t="str">
        <f aca="false">IF(AND(TRIM(A969)&lt;&gt;"",ISNUMBER(FIND(" MT"," "&amp;A969)),LEFT(A969,5)&lt;&gt;"DESC="),MAX(B$2:B968)+1,"")</f>
        <v/>
      </c>
    </row>
    <row r="970" customFormat="false" ht="15" hidden="false" customHeight="false" outlineLevel="0" collapsed="false">
      <c r="A970" s="4"/>
      <c r="B970" s="5" t="str">
        <f aca="false">IF(AND(TRIM(A970)&lt;&gt;"",ISNUMBER(FIND(" MT"," "&amp;A970)),LEFT(A970,5)&lt;&gt;"DESC="),MAX(B$2:B969)+1,"")</f>
        <v/>
      </c>
    </row>
    <row r="971" customFormat="false" ht="15" hidden="false" customHeight="false" outlineLevel="0" collapsed="false">
      <c r="A971" s="4"/>
      <c r="B971" s="5" t="str">
        <f aca="false">IF(AND(TRIM(A971)&lt;&gt;"",ISNUMBER(FIND(" MT"," "&amp;A971)),LEFT(A971,5)&lt;&gt;"DESC="),MAX(B$2:B970)+1,"")</f>
        <v/>
      </c>
    </row>
    <row r="972" customFormat="false" ht="15" hidden="false" customHeight="false" outlineLevel="0" collapsed="false">
      <c r="A972" s="4"/>
      <c r="B972" s="5" t="str">
        <f aca="false">IF(AND(TRIM(A972)&lt;&gt;"",ISNUMBER(FIND(" MT"," "&amp;A972)),LEFT(A972,5)&lt;&gt;"DESC="),MAX(B$2:B971)+1,"")</f>
        <v/>
      </c>
    </row>
    <row r="973" customFormat="false" ht="15" hidden="false" customHeight="false" outlineLevel="0" collapsed="false">
      <c r="A973" s="4"/>
      <c r="B973" s="5" t="str">
        <f aca="false">IF(AND(TRIM(A973)&lt;&gt;"",ISNUMBER(FIND(" MT"," "&amp;A973)),LEFT(A973,5)&lt;&gt;"DESC="),MAX(B$2:B972)+1,"")</f>
        <v/>
      </c>
    </row>
    <row r="974" customFormat="false" ht="15" hidden="false" customHeight="false" outlineLevel="0" collapsed="false">
      <c r="A974" s="4"/>
      <c r="B974" s="5" t="str">
        <f aca="false">IF(AND(TRIM(A974)&lt;&gt;"",ISNUMBER(FIND(" MT"," "&amp;A974)),LEFT(A974,5)&lt;&gt;"DESC="),MAX(B$2:B973)+1,"")</f>
        <v/>
      </c>
    </row>
    <row r="975" customFormat="false" ht="15" hidden="false" customHeight="false" outlineLevel="0" collapsed="false">
      <c r="A975" s="4"/>
      <c r="B975" s="5" t="str">
        <f aca="false">IF(AND(TRIM(A975)&lt;&gt;"",ISNUMBER(FIND(" MT"," "&amp;A975)),LEFT(A975,5)&lt;&gt;"DESC="),MAX(B$2:B974)+1,"")</f>
        <v/>
      </c>
    </row>
    <row r="976" customFormat="false" ht="15" hidden="false" customHeight="false" outlineLevel="0" collapsed="false">
      <c r="A976" s="4"/>
      <c r="B976" s="5" t="str">
        <f aca="false">IF(AND(TRIM(A976)&lt;&gt;"",ISNUMBER(FIND(" MT"," "&amp;A976)),LEFT(A976,5)&lt;&gt;"DESC="),MAX(B$2:B975)+1,"")</f>
        <v/>
      </c>
    </row>
    <row r="977" customFormat="false" ht="15" hidden="false" customHeight="false" outlineLevel="0" collapsed="false">
      <c r="A977" s="4"/>
      <c r="B977" s="5" t="str">
        <f aca="false">IF(AND(TRIM(A977)&lt;&gt;"",ISNUMBER(FIND(" MT"," "&amp;A977)),LEFT(A977,5)&lt;&gt;"DESC="),MAX(B$2:B976)+1,"")</f>
        <v/>
      </c>
    </row>
    <row r="978" customFormat="false" ht="15" hidden="false" customHeight="false" outlineLevel="0" collapsed="false">
      <c r="A978" s="4"/>
      <c r="B978" s="5" t="str">
        <f aca="false">IF(AND(TRIM(A978)&lt;&gt;"",ISNUMBER(FIND(" MT"," "&amp;A978)),LEFT(A978,5)&lt;&gt;"DESC="),MAX(B$2:B977)+1,"")</f>
        <v/>
      </c>
    </row>
    <row r="979" customFormat="false" ht="15" hidden="false" customHeight="false" outlineLevel="0" collapsed="false">
      <c r="A979" s="4"/>
      <c r="B979" s="5" t="str">
        <f aca="false">IF(AND(TRIM(A979)&lt;&gt;"",ISNUMBER(FIND(" MT"," "&amp;A979)),LEFT(A979,5)&lt;&gt;"DESC="),MAX(B$2:B978)+1,"")</f>
        <v/>
      </c>
    </row>
    <row r="980" customFormat="false" ht="15" hidden="false" customHeight="false" outlineLevel="0" collapsed="false">
      <c r="A980" s="4"/>
      <c r="B980" s="5" t="str">
        <f aca="false">IF(AND(TRIM(A980)&lt;&gt;"",ISNUMBER(FIND(" MT"," "&amp;A980)),LEFT(A980,5)&lt;&gt;"DESC="),MAX(B$2:B979)+1,"")</f>
        <v/>
      </c>
    </row>
    <row r="981" customFormat="false" ht="15" hidden="false" customHeight="false" outlineLevel="0" collapsed="false">
      <c r="A981" s="4"/>
      <c r="B981" s="5" t="str">
        <f aca="false">IF(AND(TRIM(A981)&lt;&gt;"",ISNUMBER(FIND(" MT"," "&amp;A981)),LEFT(A981,5)&lt;&gt;"DESC="),MAX(B$2:B980)+1,"")</f>
        <v/>
      </c>
    </row>
    <row r="982" customFormat="false" ht="15" hidden="false" customHeight="false" outlineLevel="0" collapsed="false">
      <c r="A982" s="4"/>
      <c r="B982" s="5" t="str">
        <f aca="false">IF(AND(TRIM(A982)&lt;&gt;"",ISNUMBER(FIND(" MT"," "&amp;A982)),LEFT(A982,5)&lt;&gt;"DESC="),MAX(B$2:B981)+1,"")</f>
        <v/>
      </c>
    </row>
    <row r="983" customFormat="false" ht="15" hidden="false" customHeight="false" outlineLevel="0" collapsed="false">
      <c r="A983" s="4"/>
      <c r="B983" s="5" t="str">
        <f aca="false">IF(AND(TRIM(A983)&lt;&gt;"",ISNUMBER(FIND(" MT"," "&amp;A983)),LEFT(A983,5)&lt;&gt;"DESC="),MAX(B$2:B982)+1,"")</f>
        <v/>
      </c>
    </row>
    <row r="984" customFormat="false" ht="15" hidden="false" customHeight="false" outlineLevel="0" collapsed="false">
      <c r="A984" s="4"/>
      <c r="B984" s="5" t="str">
        <f aca="false">IF(AND(TRIM(A984)&lt;&gt;"",ISNUMBER(FIND(" MT"," "&amp;A984)),LEFT(A984,5)&lt;&gt;"DESC="),MAX(B$2:B983)+1,"")</f>
        <v/>
      </c>
    </row>
    <row r="985" customFormat="false" ht="15" hidden="false" customHeight="false" outlineLevel="0" collapsed="false">
      <c r="A985" s="4"/>
      <c r="B985" s="5" t="str">
        <f aca="false">IF(AND(TRIM(A985)&lt;&gt;"",ISNUMBER(FIND(" MT"," "&amp;A985)),LEFT(A985,5)&lt;&gt;"DESC="),MAX(B$2:B984)+1,"")</f>
        <v/>
      </c>
    </row>
    <row r="986" customFormat="false" ht="15" hidden="false" customHeight="false" outlineLevel="0" collapsed="false">
      <c r="A986" s="4"/>
      <c r="B986" s="5" t="str">
        <f aca="false">IF(AND(TRIM(A986)&lt;&gt;"",ISNUMBER(FIND(" MT"," "&amp;A986)),LEFT(A986,5)&lt;&gt;"DESC="),MAX(B$2:B985)+1,"")</f>
        <v/>
      </c>
    </row>
    <row r="987" customFormat="false" ht="15" hidden="false" customHeight="false" outlineLevel="0" collapsed="false">
      <c r="A987" s="4"/>
      <c r="B987" s="5" t="str">
        <f aca="false">IF(AND(TRIM(A987)&lt;&gt;"",ISNUMBER(FIND(" MT"," "&amp;A987)),LEFT(A987,5)&lt;&gt;"DESC="),MAX(B$2:B986)+1,"")</f>
        <v/>
      </c>
    </row>
    <row r="988" customFormat="false" ht="15" hidden="false" customHeight="false" outlineLevel="0" collapsed="false">
      <c r="A988" s="4"/>
      <c r="B988" s="5" t="str">
        <f aca="false">IF(AND(TRIM(A988)&lt;&gt;"",ISNUMBER(FIND(" MT"," "&amp;A988)),LEFT(A988,5)&lt;&gt;"DESC="),MAX(B$2:B987)+1,"")</f>
        <v/>
      </c>
    </row>
    <row r="989" customFormat="false" ht="15" hidden="false" customHeight="false" outlineLevel="0" collapsed="false">
      <c r="A989" s="4"/>
      <c r="B989" s="5" t="str">
        <f aca="false">IF(AND(TRIM(A989)&lt;&gt;"",ISNUMBER(FIND(" MT"," "&amp;A989)),LEFT(A989,5)&lt;&gt;"DESC="),MAX(B$2:B988)+1,"")</f>
        <v/>
      </c>
    </row>
    <row r="990" customFormat="false" ht="15" hidden="false" customHeight="false" outlineLevel="0" collapsed="false">
      <c r="A990" s="4"/>
      <c r="B990" s="5" t="str">
        <f aca="false">IF(AND(TRIM(A990)&lt;&gt;"",ISNUMBER(FIND(" MT"," "&amp;A990)),LEFT(A990,5)&lt;&gt;"DESC="),MAX(B$2:B989)+1,"")</f>
        <v/>
      </c>
    </row>
    <row r="991" customFormat="false" ht="15" hidden="false" customHeight="false" outlineLevel="0" collapsed="false">
      <c r="A991" s="4"/>
      <c r="B991" s="5" t="str">
        <f aca="false">IF(AND(TRIM(A991)&lt;&gt;"",ISNUMBER(FIND(" MT"," "&amp;A991)),LEFT(A991,5)&lt;&gt;"DESC="),MAX(B$2:B990)+1,"")</f>
        <v/>
      </c>
    </row>
    <row r="992" customFormat="false" ht="15" hidden="false" customHeight="false" outlineLevel="0" collapsed="false">
      <c r="A992" s="4"/>
      <c r="B992" s="5" t="str">
        <f aca="false">IF(AND(TRIM(A992)&lt;&gt;"",ISNUMBER(FIND(" MT"," "&amp;A992)),LEFT(A992,5)&lt;&gt;"DESC="),MAX(B$2:B991)+1,"")</f>
        <v/>
      </c>
    </row>
    <row r="993" customFormat="false" ht="15" hidden="false" customHeight="false" outlineLevel="0" collapsed="false">
      <c r="A993" s="4"/>
      <c r="B993" s="5" t="str">
        <f aca="false">IF(AND(TRIM(A993)&lt;&gt;"",ISNUMBER(FIND(" MT"," "&amp;A993)),LEFT(A993,5)&lt;&gt;"DESC="),MAX(B$2:B992)+1,"")</f>
        <v/>
      </c>
    </row>
    <row r="994" customFormat="false" ht="15" hidden="false" customHeight="false" outlineLevel="0" collapsed="false">
      <c r="A994" s="4"/>
      <c r="B994" s="5" t="str">
        <f aca="false">IF(AND(TRIM(A994)&lt;&gt;"",ISNUMBER(FIND(" MT"," "&amp;A994)),LEFT(A994,5)&lt;&gt;"DESC="),MAX(B$2:B993)+1,"")</f>
        <v/>
      </c>
    </row>
    <row r="995" customFormat="false" ht="15" hidden="false" customHeight="false" outlineLevel="0" collapsed="false">
      <c r="A995" s="4"/>
      <c r="B995" s="5" t="str">
        <f aca="false">IF(AND(TRIM(A995)&lt;&gt;"",ISNUMBER(FIND(" MT"," "&amp;A995)),LEFT(A995,5)&lt;&gt;"DESC="),MAX(B$2:B994)+1,"")</f>
        <v/>
      </c>
    </row>
    <row r="996" customFormat="false" ht="15" hidden="false" customHeight="false" outlineLevel="0" collapsed="false">
      <c r="A996" s="4"/>
      <c r="B996" s="5" t="str">
        <f aca="false">IF(AND(TRIM(A996)&lt;&gt;"",ISNUMBER(FIND(" MT"," "&amp;A996)),LEFT(A996,5)&lt;&gt;"DESC="),MAX(B$2:B995)+1,"")</f>
        <v/>
      </c>
    </row>
    <row r="997" customFormat="false" ht="15" hidden="false" customHeight="false" outlineLevel="0" collapsed="false">
      <c r="A997" s="4"/>
      <c r="B997" s="5" t="str">
        <f aca="false">IF(AND(TRIM(A997)&lt;&gt;"",ISNUMBER(FIND(" MT"," "&amp;A997)),LEFT(A997,5)&lt;&gt;"DESC="),MAX(B$2:B996)+1,"")</f>
        <v/>
      </c>
    </row>
    <row r="998" customFormat="false" ht="15" hidden="false" customHeight="false" outlineLevel="0" collapsed="false">
      <c r="A998" s="4"/>
      <c r="B998" s="5" t="str">
        <f aca="false">IF(AND(TRIM(A998)&lt;&gt;"",ISNUMBER(FIND(" MT"," "&amp;A998)),LEFT(A998,5)&lt;&gt;"DESC="),MAX(B$2:B997)+1,"")</f>
        <v/>
      </c>
    </row>
    <row r="999" customFormat="false" ht="15" hidden="false" customHeight="false" outlineLevel="0" collapsed="false">
      <c r="A999" s="4"/>
      <c r="B999" s="5" t="str">
        <f aca="false">IF(AND(TRIM(A999)&lt;&gt;"",ISNUMBER(FIND(" MT"," "&amp;A999)),LEFT(A999,5)&lt;&gt;"DESC="),MAX(B$2:B998)+1,"")</f>
        <v/>
      </c>
    </row>
    <row r="1000" customFormat="false" ht="15" hidden="false" customHeight="false" outlineLevel="0" collapsed="false">
      <c r="A1000" s="4"/>
      <c r="B1000" s="5" t="str">
        <f aca="false">IF(AND(TRIM(A1000)&lt;&gt;"",ISNUMBER(FIND(" MT"," "&amp;A1000)),LEFT(A1000,5)&lt;&gt;"DESC="),MAX(B$2:B999)+1,"")</f>
        <v/>
      </c>
    </row>
    <row r="1001" customFormat="false" ht="15" hidden="false" customHeight="false" outlineLevel="0" collapsed="false">
      <c r="A1001" s="4"/>
      <c r="B1001" s="5" t="str">
        <f aca="false">IF(AND(TRIM(A1001)&lt;&gt;"",ISNUMBER(FIND(" MT"," "&amp;A1001)),LEFT(A1001,5)&lt;&gt;"DESC="),MAX(B$2:B1000)+1,"")</f>
        <v/>
      </c>
    </row>
    <row r="1002" customFormat="false" ht="15" hidden="false" customHeight="false" outlineLevel="0" collapsed="false">
      <c r="A1002" s="4"/>
      <c r="B1002" s="5" t="str">
        <f aca="false">IF(AND(TRIM(A1002)&lt;&gt;"",ISNUMBER(FIND(" MT"," "&amp;A1002)),LEFT(A1002,5)&lt;&gt;"DESC="),MAX(B$2:B1001)+1,"")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75"/>
    <col collapsed="false" customWidth="true" hidden="false" outlineLevel="0" max="2" min="2" style="6" width="34"/>
    <col collapsed="false" customWidth="true" hidden="false" outlineLevel="0" max="3" min="3" style="6" width="18"/>
    <col collapsed="false" customWidth="true" hidden="false" outlineLevel="0" max="4" min="4" style="6" width="22"/>
  </cols>
  <sheetData>
    <row r="1" customFormat="false" ht="17.25" hidden="false" customHeight="true" outlineLevel="0" collapsed="false">
      <c r="A1" s="7" t="s">
        <v>11</v>
      </c>
    </row>
    <row r="2" customFormat="false" ht="15" hidden="false" customHeight="true" outlineLevel="0" collapsed="false">
      <c r="A2" s="8" t="s">
        <v>12</v>
      </c>
    </row>
    <row r="3" customFormat="false" ht="15" hidden="false" customHeight="true" outlineLevel="0" collapsed="false">
      <c r="A3" s="9"/>
    </row>
    <row r="4" customFormat="false" ht="15" hidden="false" customHeight="true" outlineLevel="0" collapsed="false">
      <c r="A4" s="10" t="s">
        <v>13</v>
      </c>
      <c r="B4" s="10" t="s">
        <v>14</v>
      </c>
      <c r="C4" s="10" t="s">
        <v>15</v>
      </c>
      <c r="D4" s="10" t="s">
        <v>16</v>
      </c>
      <c r="F4" s="9" t="s">
        <v>17</v>
      </c>
    </row>
    <row r="5" customFormat="false" ht="30" hidden="false" customHeight="true" outlineLevel="0" collapsed="false">
      <c r="A5" s="11" t="str">
        <f aca="false">IFERROR(INDEX(Pegar!$A$3:$A$1002,MATCH(1,Pegar!$B$3:$B$1002,0))&amp;IF(LEFT(INDEX(Pegar!$A$3:$A$1003,MATCH(1,Pegar!$B$3:$B$1002,0)+1),5)="DESC=",CHAR(10)&amp;INDEX(Pegar!$A$3:$A$1003,MATCH(1,Pegar!$B$3:$B$1002,0)+1),""),"")</f>
        <v>-1809 1809 4.52 D2323 001 10002 MT262610076000010000247
DESC=FACEBK *A3UD482JP4 MENLO PARK CA AUTH=R45349</v>
      </c>
      <c r="B5" s="12" t="str">
        <f aca="false">IF(TRIM(A5)="","",IFERROR(MID(SUBSTITUTE(SUBSTITUTE(A5,CHAR(10)," "),CHAR(13)," "),FIND(" MT"," "&amp;SUBSTITUTE(SUBSTITUTE(A5,CHAR(10)," "),CHAR(13)," ")),FIND(" ",SUBSTITUTE(SUBSTITUTE(A5,CHAR(10)," "),CHAR(13)," ")&amp;" ",FIND(" MT"," "&amp;SUBSTITUTE(SUBSTITUTE(A5,CHAR(10)," "),CHAR(13)," ")))-FIND(" MT"," "&amp;SUBSTITUTE(SUBSTITUTE(A5,CHAR(10)," "),CHAR(13)," "))),"MT no encontrado"))</f>
        <v>MT262610076000010000247</v>
      </c>
      <c r="C5" s="13" t="b">
        <f aca="false">IF(TRIM(A5)="","",IF(D5="",FALSE(),SUBSTITUTE(SUBSTITUTE(SUBSTITUTE(D5,".",""),"0",""),"-","")&lt;&gt;""))</f>
        <v>1</v>
      </c>
      <c r="D5" s="14" t="str">
        <f aca="false">IF(TRIM(A5)="","",IFERROR(MID((" "&amp;LEFT(SUBSTITUTE(A5,CHAR(13),""),FIND(CHAR(10),SUBSTITUTE(A5,CHAR(13),"")&amp;CHAR(10))-1)),(FIND("~",SUBSTITUTE(LEFT((" "&amp;LEFT(SUBSTITUTE(A5,CHAR(13),""),FIND(CHAR(10),SUBSTITUTE(A5,CHAR(13),"")&amp;CHAR(10))-1)),FIND(".",(" "&amp;LEFT(SUBSTITUTE(A5,CHAR(13),""),FIND(CHAR(10),SUBSTITUTE(A5,CHAR(13),"")&amp;CHAR(10))-1))))," ","~",LEN(LEFT((" "&amp;LEFT(SUBSTITUTE(A5,CHAR(13),""),FIND(CHAR(10),SUBSTITUTE(A5,CHAR(13),"")&amp;CHAR(10))-1)),FIND(".",(" "&amp;LEFT(SUBSTITUTE(A5,CHAR(13),""),FIND(CHAR(10),SUBSTITUTE(A5,CHAR(13),"")&amp;CHAR(10))-1)))))-LEN(SUBSTITUTE(LEFT((" "&amp;LEFT(SUBSTITUTE(A5,CHAR(13),""),FIND(CHAR(10),SUBSTITUTE(A5,CHAR(13),"")&amp;CHAR(10))-1)),FIND(".",(" "&amp;LEFT(SUBSTITUTE(A5,CHAR(13),""),FIND(CHAR(10),SUBSTITUTE(A5,CHAR(13),"")&amp;CHAR(10))-1))))," ",""))))+1),FIND(" ",(" "&amp;LEFT(SUBSTITUTE(A5,CHAR(13),""),FIND(CHAR(10),SUBSTITUTE(A5,CHAR(13),"")&amp;CHAR(10))-1))&amp;" ",FIND(".",(" "&amp;LEFT(SUBSTITUTE(A5,CHAR(13),""),FIND(CHAR(10),SUBSTITUTE(A5,CHAR(13),"")&amp;CHAR(10))-1))))-(FIND("~",SUBSTITUTE(LEFT((" "&amp;LEFT(SUBSTITUTE(A5,CHAR(13),""),FIND(CHAR(10),SUBSTITUTE(A5,CHAR(13),"")&amp;CHAR(10))-1)),FIND(".",(" "&amp;LEFT(SUBSTITUTE(A5,CHAR(13),""),FIND(CHAR(10),SUBSTITUTE(A5,CHAR(13),"")&amp;CHAR(10))-1))))," ","~",LEN(LEFT((" "&amp;LEFT(SUBSTITUTE(A5,CHAR(13),""),FIND(CHAR(10),SUBSTITUTE(A5,CHAR(13),"")&amp;CHAR(10))-1)),FIND(".",(" "&amp;LEFT(SUBSTITUTE(A5,CHAR(13),""),FIND(CHAR(10),SUBSTITUTE(A5,CHAR(13),"")&amp;CHAR(10))-1)))))-LEN(SUBSTITUTE(LEFT((" "&amp;LEFT(SUBSTITUTE(A5,CHAR(13),""),FIND(CHAR(10),SUBSTITUTE(A5,CHAR(13),"")&amp;CHAR(10))-1)),FIND(".",(" "&amp;LEFT(SUBSTITUTE(A5,CHAR(13),""),FIND(CHAR(10),SUBSTITUTE(A5,CHAR(13),"")&amp;CHAR(10))-1))))," ",""))))+1)),""))</f>
        <v>4.52</v>
      </c>
      <c r="F5" s="9" t="s">
        <v>18</v>
      </c>
    </row>
    <row r="6" customFormat="false" ht="30" hidden="false" customHeight="true" outlineLevel="0" collapsed="false">
      <c r="A6" s="11" t="str">
        <f aca="false">IFERROR(INDEX(Pegar!$A$3:$A$1002,MATCH(2,Pegar!$B$3:$B$1002,0))&amp;IF(LEFT(INDEX(Pegar!$A$3:$A$1003,MATCH(2,Pegar!$B$3:$B$1002,0)+1),5)="DESC=",CHAR(10)&amp;INDEX(Pegar!$A$3:$A$1003,MATCH(2,Pegar!$B$3:$B$1002,0)+1),""),"")</f>
        <v>-1809 1809 0.00 D2323 001 10002 MT262610076000010000248
DESC=TEST</v>
      </c>
      <c r="B6" s="12" t="str">
        <f aca="false">IF(TRIM(A6)="","",IFERROR(MID(SUBSTITUTE(SUBSTITUTE(A6,CHAR(10)," "),CHAR(13)," "),FIND(" MT"," "&amp;SUBSTITUTE(SUBSTITUTE(A6,CHAR(10)," "),CHAR(13)," ")),FIND(" ",SUBSTITUTE(SUBSTITUTE(A6,CHAR(10)," "),CHAR(13)," ")&amp;" ",FIND(" MT"," "&amp;SUBSTITUTE(SUBSTITUTE(A6,CHAR(10)," "),CHAR(13)," ")))-FIND(" MT"," "&amp;SUBSTITUTE(SUBSTITUTE(A6,CHAR(10)," "),CHAR(13)," "))),"MT no encontrado"))</f>
        <v>MT262610076000010000248</v>
      </c>
      <c r="C6" s="13" t="b">
        <f aca="false">IF(TRIM(A6)="","",IF(D6="",FALSE(),SUBSTITUTE(SUBSTITUTE(SUBSTITUTE(D6,".",""),"0",""),"-","")&lt;&gt;""))</f>
        <v>0</v>
      </c>
      <c r="D6" s="14" t="str">
        <f aca="false">IF(TRIM(A6)="","",IFERROR(MID((" "&amp;LEFT(SUBSTITUTE(A6,CHAR(13),""),FIND(CHAR(10),SUBSTITUTE(A6,CHAR(13),"")&amp;CHAR(10))-1)),(FIND("~",SUBSTITUTE(LEFT((" "&amp;LEFT(SUBSTITUTE(A6,CHAR(13),""),FIND(CHAR(10),SUBSTITUTE(A6,CHAR(13),"")&amp;CHAR(10))-1)),FIND(".",(" "&amp;LEFT(SUBSTITUTE(A6,CHAR(13),""),FIND(CHAR(10),SUBSTITUTE(A6,CHAR(13),"")&amp;CHAR(10))-1))))," ","~",LEN(LEFT((" "&amp;LEFT(SUBSTITUTE(A6,CHAR(13),""),FIND(CHAR(10),SUBSTITUTE(A6,CHAR(13),"")&amp;CHAR(10))-1)),FIND(".",(" "&amp;LEFT(SUBSTITUTE(A6,CHAR(13),""),FIND(CHAR(10),SUBSTITUTE(A6,CHAR(13),"")&amp;CHAR(10))-1)))))-LEN(SUBSTITUTE(LEFT((" "&amp;LEFT(SUBSTITUTE(A6,CHAR(13),""),FIND(CHAR(10),SUBSTITUTE(A6,CHAR(13),"")&amp;CHAR(10))-1)),FIND(".",(" "&amp;LEFT(SUBSTITUTE(A6,CHAR(13),""),FIND(CHAR(10),SUBSTITUTE(A6,CHAR(13),"")&amp;CHAR(10))-1))))," ",""))))+1),FIND(" ",(" "&amp;LEFT(SUBSTITUTE(A6,CHAR(13),""),FIND(CHAR(10),SUBSTITUTE(A6,CHAR(13),"")&amp;CHAR(10))-1))&amp;" ",FIND(".",(" "&amp;LEFT(SUBSTITUTE(A6,CHAR(13),""),FIND(CHAR(10),SUBSTITUTE(A6,CHAR(13),"")&amp;CHAR(10))-1))))-(FIND("~",SUBSTITUTE(LEFT((" "&amp;LEFT(SUBSTITUTE(A6,CHAR(13),""),FIND(CHAR(10),SUBSTITUTE(A6,CHAR(13),"")&amp;CHAR(10))-1)),FIND(".",(" "&amp;LEFT(SUBSTITUTE(A6,CHAR(13),""),FIND(CHAR(10),SUBSTITUTE(A6,CHAR(13),"")&amp;CHAR(10))-1))))," ","~",LEN(LEFT((" "&amp;LEFT(SUBSTITUTE(A6,CHAR(13),""),FIND(CHAR(10),SUBSTITUTE(A6,CHAR(13),"")&amp;CHAR(10))-1)),FIND(".",(" "&amp;LEFT(SUBSTITUTE(A6,CHAR(13),""),FIND(CHAR(10),SUBSTITUTE(A6,CHAR(13),"")&amp;CHAR(10))-1)))))-LEN(SUBSTITUTE(LEFT((" "&amp;LEFT(SUBSTITUTE(A6,CHAR(13),""),FIND(CHAR(10),SUBSTITUTE(A6,CHAR(13),"")&amp;CHAR(10))-1)),FIND(".",(" "&amp;LEFT(SUBSTITUTE(A6,CHAR(13),""),FIND(CHAR(10),SUBSTITUTE(A6,CHAR(13),"")&amp;CHAR(10))-1))))," ",""))))+1)),""))</f>
        <v>0.00</v>
      </c>
    </row>
    <row r="7" customFormat="false" ht="30" hidden="false" customHeight="true" outlineLevel="0" collapsed="false">
      <c r="A7" s="11" t="str">
        <f aca="false">IFERROR(INDEX(Pegar!$A$3:$A$1002,MATCH(3,Pegar!$B$3:$B$1002,0))&amp;IF(LEFT(INDEX(Pegar!$A$3:$A$1003,MATCH(3,Pegar!$B$3:$B$1002,0)+1),5)="DESC=",CHAR(10)&amp;INDEX(Pegar!$A$3:$A$1003,MATCH(3,Pegar!$B$3:$B$1002,0)+1),""),"")</f>
        <v>-1809 1809 D2323 001 10002 MT262610076000010000249
DESC=SIN IMPORTE</v>
      </c>
      <c r="B7" s="12" t="str">
        <f aca="false">IF(TRIM(A7)="","",IFERROR(MID(SUBSTITUTE(SUBSTITUTE(A7,CHAR(10)," "),CHAR(13)," "),FIND(" MT"," "&amp;SUBSTITUTE(SUBSTITUTE(A7,CHAR(10)," "),CHAR(13)," ")),FIND(" ",SUBSTITUTE(SUBSTITUTE(A7,CHAR(10)," "),CHAR(13)," ")&amp;" ",FIND(" MT"," "&amp;SUBSTITUTE(SUBSTITUTE(A7,CHAR(10)," "),CHAR(13)," ")))-FIND(" MT"," "&amp;SUBSTITUTE(SUBSTITUTE(A7,CHAR(10)," "),CHAR(13)," "))),"MT no encontrado"))</f>
        <v>MT262610076000010000249</v>
      </c>
      <c r="C7" s="13" t="b">
        <f aca="false">IF(TRIM(A7)="","",IF(D7="",FALSE(),SUBSTITUTE(SUBSTITUTE(SUBSTITUTE(D7,".",""),"0",""),"-","")&lt;&gt;""))</f>
        <v>0</v>
      </c>
      <c r="D7" s="14" t="str">
        <f aca="false">IF(TRIM(A7)="","",IFERROR(MID((" "&amp;LEFT(SUBSTITUTE(A7,CHAR(13),""),FIND(CHAR(10),SUBSTITUTE(A7,CHAR(13),"")&amp;CHAR(10))-1)),(FIND("~",SUBSTITUTE(LEFT((" "&amp;LEFT(SUBSTITUTE(A7,CHAR(13),""),FIND(CHAR(10),SUBSTITUTE(A7,CHAR(13),"")&amp;CHAR(10))-1)),FIND(".",(" "&amp;LEFT(SUBSTITUTE(A7,CHAR(13),""),FIND(CHAR(10),SUBSTITUTE(A7,CHAR(13),"")&amp;CHAR(10))-1))))," ","~",LEN(LEFT((" "&amp;LEFT(SUBSTITUTE(A7,CHAR(13),""),FIND(CHAR(10),SUBSTITUTE(A7,CHAR(13),"")&amp;CHAR(10))-1)),FIND(".",(" "&amp;LEFT(SUBSTITUTE(A7,CHAR(13),""),FIND(CHAR(10),SUBSTITUTE(A7,CHAR(13),"")&amp;CHAR(10))-1)))))-LEN(SUBSTITUTE(LEFT((" "&amp;LEFT(SUBSTITUTE(A7,CHAR(13),""),FIND(CHAR(10),SUBSTITUTE(A7,CHAR(13),"")&amp;CHAR(10))-1)),FIND(".",(" "&amp;LEFT(SUBSTITUTE(A7,CHAR(13),""),FIND(CHAR(10),SUBSTITUTE(A7,CHAR(13),"")&amp;CHAR(10))-1))))," ",""))))+1),FIND(" ",(" "&amp;LEFT(SUBSTITUTE(A7,CHAR(13),""),FIND(CHAR(10),SUBSTITUTE(A7,CHAR(13),"")&amp;CHAR(10))-1))&amp;" ",FIND(".",(" "&amp;LEFT(SUBSTITUTE(A7,CHAR(13),""),FIND(CHAR(10),SUBSTITUTE(A7,CHAR(13),"")&amp;CHAR(10))-1))))-(FIND("~",SUBSTITUTE(LEFT((" "&amp;LEFT(SUBSTITUTE(A7,CHAR(13),""),FIND(CHAR(10),SUBSTITUTE(A7,CHAR(13),"")&amp;CHAR(10))-1)),FIND(".",(" "&amp;LEFT(SUBSTITUTE(A7,CHAR(13),""),FIND(CHAR(10),SUBSTITUTE(A7,CHAR(13),"")&amp;CHAR(10))-1))))," ","~",LEN(LEFT((" "&amp;LEFT(SUBSTITUTE(A7,CHAR(13),""),FIND(CHAR(10),SUBSTITUTE(A7,CHAR(13),"")&amp;CHAR(10))-1)),FIND(".",(" "&amp;LEFT(SUBSTITUTE(A7,CHAR(13),""),FIND(CHAR(10),SUBSTITUTE(A7,CHAR(13),"")&amp;CHAR(10))-1)))))-LEN(SUBSTITUTE(LEFT((" "&amp;LEFT(SUBSTITUTE(A7,CHAR(13),""),FIND(CHAR(10),SUBSTITUTE(A7,CHAR(13),"")&amp;CHAR(10))-1)),FIND(".",(" "&amp;LEFT(SUBSTITUTE(A7,CHAR(13),""),FIND(CHAR(10),SUBSTITUTE(A7,CHAR(13),"")&amp;CHAR(10))-1))))," ",""))))+1)),""))</f>
        <v/>
      </c>
    </row>
    <row r="8" customFormat="false" ht="30" hidden="false" customHeight="true" outlineLevel="0" collapsed="false">
      <c r="A8" s="11" t="str">
        <f aca="false">IFERROR(INDEX(Pegar!$A$3:$A$1002,MATCH(4,Pegar!$B$3:$B$1002,0))&amp;IF(LEFT(INDEX(Pegar!$A$3:$A$1003,MATCH(4,Pegar!$B$3:$B$1002,0)+1),5)="DESC=",CHAR(10)&amp;INDEX(Pegar!$A$3:$A$1003,MATCH(4,Pegar!$B$3:$B$1002,0)+1),""),"")</f>
        <v/>
      </c>
      <c r="B8" s="12" t="str">
        <f aca="false">IF(TRIM(A8)="","",IFERROR(MID(SUBSTITUTE(SUBSTITUTE(A8,CHAR(10)," "),CHAR(13)," "),FIND(" MT"," "&amp;SUBSTITUTE(SUBSTITUTE(A8,CHAR(10)," "),CHAR(13)," ")),FIND(" ",SUBSTITUTE(SUBSTITUTE(A8,CHAR(10)," "),CHAR(13)," ")&amp;" ",FIND(" MT"," "&amp;SUBSTITUTE(SUBSTITUTE(A8,CHAR(10)," "),CHAR(13)," ")))-FIND(" MT"," "&amp;SUBSTITUTE(SUBSTITUTE(A8,CHAR(10)," "),CHAR(13)," "))),"MT no encontrado"))</f>
        <v/>
      </c>
      <c r="C8" s="15" t="str">
        <f aca="false">IF(TRIM(A8)="","",IF(D8="",FALSE(),SUBSTITUTE(SUBSTITUTE(SUBSTITUTE(D8,".",""),"0",""),"-","")&lt;&gt;""))</f>
        <v/>
      </c>
      <c r="D8" s="14" t="str">
        <f aca="false">IF(TRIM(A8)="","",IFERROR(MID((" "&amp;LEFT(SUBSTITUTE(A8,CHAR(13),""),FIND(CHAR(10),SUBSTITUTE(A8,CHAR(13),"")&amp;CHAR(10))-1)),(FIND("~",SUBSTITUTE(LEFT((" "&amp;LEFT(SUBSTITUTE(A8,CHAR(13),""),FIND(CHAR(10),SUBSTITUTE(A8,CHAR(13),"")&amp;CHAR(10))-1)),FIND(".",(" "&amp;LEFT(SUBSTITUTE(A8,CHAR(13),""),FIND(CHAR(10),SUBSTITUTE(A8,CHAR(13),"")&amp;CHAR(10))-1))))," ","~",LEN(LEFT((" "&amp;LEFT(SUBSTITUTE(A8,CHAR(13),""),FIND(CHAR(10),SUBSTITUTE(A8,CHAR(13),"")&amp;CHAR(10))-1)),FIND(".",(" "&amp;LEFT(SUBSTITUTE(A8,CHAR(13),""),FIND(CHAR(10),SUBSTITUTE(A8,CHAR(13),"")&amp;CHAR(10))-1)))))-LEN(SUBSTITUTE(LEFT((" "&amp;LEFT(SUBSTITUTE(A8,CHAR(13),""),FIND(CHAR(10),SUBSTITUTE(A8,CHAR(13),"")&amp;CHAR(10))-1)),FIND(".",(" "&amp;LEFT(SUBSTITUTE(A8,CHAR(13),""),FIND(CHAR(10),SUBSTITUTE(A8,CHAR(13),"")&amp;CHAR(10))-1))))," ",""))))+1),FIND(" ",(" "&amp;LEFT(SUBSTITUTE(A8,CHAR(13),""),FIND(CHAR(10),SUBSTITUTE(A8,CHAR(13),"")&amp;CHAR(10))-1))&amp;" ",FIND(".",(" "&amp;LEFT(SUBSTITUTE(A8,CHAR(13),""),FIND(CHAR(10),SUBSTITUTE(A8,CHAR(13),"")&amp;CHAR(10))-1))))-(FIND("~",SUBSTITUTE(LEFT((" "&amp;LEFT(SUBSTITUTE(A8,CHAR(13),""),FIND(CHAR(10),SUBSTITUTE(A8,CHAR(13),"")&amp;CHAR(10))-1)),FIND(".",(" "&amp;LEFT(SUBSTITUTE(A8,CHAR(13),""),FIND(CHAR(10),SUBSTITUTE(A8,CHAR(13),"")&amp;CHAR(10))-1))))," ","~",LEN(LEFT((" "&amp;LEFT(SUBSTITUTE(A8,CHAR(13),""),FIND(CHAR(10),SUBSTITUTE(A8,CHAR(13),"")&amp;CHAR(10))-1)),FIND(".",(" "&amp;LEFT(SUBSTITUTE(A8,CHAR(13),""),FIND(CHAR(10),SUBSTITUTE(A8,CHAR(13),"")&amp;CHAR(10))-1)))))-LEN(SUBSTITUTE(LEFT((" "&amp;LEFT(SUBSTITUTE(A8,CHAR(13),""),FIND(CHAR(10),SUBSTITUTE(A8,CHAR(13),"")&amp;CHAR(10))-1)),FIND(".",(" "&amp;LEFT(SUBSTITUTE(A8,CHAR(13),""),FIND(CHAR(10),SUBSTITUTE(A8,CHAR(13),"")&amp;CHAR(10))-1))))," ",""))))+1)),""))</f>
        <v/>
      </c>
    </row>
    <row r="9" customFormat="false" ht="30" hidden="false" customHeight="true" outlineLevel="0" collapsed="false">
      <c r="A9" s="11" t="str">
        <f aca="false">IFERROR(INDEX(Pegar!$A$3:$A$1002,MATCH(5,Pegar!$B$3:$B$1002,0))&amp;IF(LEFT(INDEX(Pegar!$A$3:$A$1003,MATCH(5,Pegar!$B$3:$B$1002,0)+1),5)="DESC=",CHAR(10)&amp;INDEX(Pegar!$A$3:$A$1003,MATCH(5,Pegar!$B$3:$B$1002,0)+1),""),"")</f>
        <v/>
      </c>
      <c r="B9" s="12" t="str">
        <f aca="false">IF(TRIM(A9)="","",IFERROR(MID(SUBSTITUTE(SUBSTITUTE(A9,CHAR(10)," "),CHAR(13)," "),FIND(" MT"," "&amp;SUBSTITUTE(SUBSTITUTE(A9,CHAR(10)," "),CHAR(13)," ")),FIND(" ",SUBSTITUTE(SUBSTITUTE(A9,CHAR(10)," "),CHAR(13)," ")&amp;" ",FIND(" MT"," "&amp;SUBSTITUTE(SUBSTITUTE(A9,CHAR(10)," "),CHAR(13)," ")))-FIND(" MT"," "&amp;SUBSTITUTE(SUBSTITUTE(A9,CHAR(10)," "),CHAR(13)," "))),"MT no encontrado"))</f>
        <v/>
      </c>
      <c r="C9" s="15" t="str">
        <f aca="false">IF(TRIM(A9)="","",IF(D9="",FALSE(),SUBSTITUTE(SUBSTITUTE(SUBSTITUTE(D9,".",""),"0",""),"-","")&lt;&gt;""))</f>
        <v/>
      </c>
      <c r="D9" s="14" t="str">
        <f aca="false">IF(TRIM(A9)="","",IFERROR(MID((" "&amp;LEFT(SUBSTITUTE(A9,CHAR(13),""),FIND(CHAR(10),SUBSTITUTE(A9,CHAR(13),"")&amp;CHAR(10))-1)),(FIND("~",SUBSTITUTE(LEFT((" "&amp;LEFT(SUBSTITUTE(A9,CHAR(13),""),FIND(CHAR(10),SUBSTITUTE(A9,CHAR(13),"")&amp;CHAR(10))-1)),FIND(".",(" "&amp;LEFT(SUBSTITUTE(A9,CHAR(13),""),FIND(CHAR(10),SUBSTITUTE(A9,CHAR(13),"")&amp;CHAR(10))-1))))," ","~",LEN(LEFT((" "&amp;LEFT(SUBSTITUTE(A9,CHAR(13),""),FIND(CHAR(10),SUBSTITUTE(A9,CHAR(13),"")&amp;CHAR(10))-1)),FIND(".",(" "&amp;LEFT(SUBSTITUTE(A9,CHAR(13),""),FIND(CHAR(10),SUBSTITUTE(A9,CHAR(13),"")&amp;CHAR(10))-1)))))-LEN(SUBSTITUTE(LEFT((" "&amp;LEFT(SUBSTITUTE(A9,CHAR(13),""),FIND(CHAR(10),SUBSTITUTE(A9,CHAR(13),"")&amp;CHAR(10))-1)),FIND(".",(" "&amp;LEFT(SUBSTITUTE(A9,CHAR(13),""),FIND(CHAR(10),SUBSTITUTE(A9,CHAR(13),"")&amp;CHAR(10))-1))))," ",""))))+1),FIND(" ",(" "&amp;LEFT(SUBSTITUTE(A9,CHAR(13),""),FIND(CHAR(10),SUBSTITUTE(A9,CHAR(13),"")&amp;CHAR(10))-1))&amp;" ",FIND(".",(" "&amp;LEFT(SUBSTITUTE(A9,CHAR(13),""),FIND(CHAR(10),SUBSTITUTE(A9,CHAR(13),"")&amp;CHAR(10))-1))))-(FIND("~",SUBSTITUTE(LEFT((" "&amp;LEFT(SUBSTITUTE(A9,CHAR(13),""),FIND(CHAR(10),SUBSTITUTE(A9,CHAR(13),"")&amp;CHAR(10))-1)),FIND(".",(" "&amp;LEFT(SUBSTITUTE(A9,CHAR(13),""),FIND(CHAR(10),SUBSTITUTE(A9,CHAR(13),"")&amp;CHAR(10))-1))))," ","~",LEN(LEFT((" "&amp;LEFT(SUBSTITUTE(A9,CHAR(13),""),FIND(CHAR(10),SUBSTITUTE(A9,CHAR(13),"")&amp;CHAR(10))-1)),FIND(".",(" "&amp;LEFT(SUBSTITUTE(A9,CHAR(13),""),FIND(CHAR(10),SUBSTITUTE(A9,CHAR(13),"")&amp;CHAR(10))-1)))))-LEN(SUBSTITUTE(LEFT((" "&amp;LEFT(SUBSTITUTE(A9,CHAR(13),""),FIND(CHAR(10),SUBSTITUTE(A9,CHAR(13),"")&amp;CHAR(10))-1)),FIND(".",(" "&amp;LEFT(SUBSTITUTE(A9,CHAR(13),""),FIND(CHAR(10),SUBSTITUTE(A9,CHAR(13),"")&amp;CHAR(10))-1))))," ",""))))+1)),""))</f>
        <v/>
      </c>
    </row>
    <row r="10" customFormat="false" ht="30" hidden="false" customHeight="true" outlineLevel="0" collapsed="false">
      <c r="A10" s="11" t="str">
        <f aca="false">IFERROR(INDEX(Pegar!$A$3:$A$1002,MATCH(6,Pegar!$B$3:$B$1002,0))&amp;IF(LEFT(INDEX(Pegar!$A$3:$A$1003,MATCH(6,Pegar!$B$3:$B$1002,0)+1),5)="DESC=",CHAR(10)&amp;INDEX(Pegar!$A$3:$A$1003,MATCH(6,Pegar!$B$3:$B$1002,0)+1),""),"")</f>
        <v/>
      </c>
      <c r="B10" s="12" t="str">
        <f aca="false">IF(TRIM(A10)="","",IFERROR(MID(SUBSTITUTE(SUBSTITUTE(A10,CHAR(10)," "),CHAR(13)," "),FIND(" MT"," "&amp;SUBSTITUTE(SUBSTITUTE(A10,CHAR(10)," "),CHAR(13)," ")),FIND(" ",SUBSTITUTE(SUBSTITUTE(A10,CHAR(10)," "),CHAR(13)," ")&amp;" ",FIND(" MT"," "&amp;SUBSTITUTE(SUBSTITUTE(A10,CHAR(10)," "),CHAR(13)," ")))-FIND(" MT"," "&amp;SUBSTITUTE(SUBSTITUTE(A10,CHAR(10)," "),CHAR(13)," "))),"MT no encontrado"))</f>
        <v/>
      </c>
      <c r="C10" s="15" t="str">
        <f aca="false">IF(TRIM(A10)="","",IF(D10="",FALSE(),SUBSTITUTE(SUBSTITUTE(SUBSTITUTE(D10,".",""),"0",""),"-","")&lt;&gt;""))</f>
        <v/>
      </c>
      <c r="D10" s="14" t="str">
        <f aca="false">IF(TRIM(A10)="","",IFERROR(MID((" "&amp;LEFT(SUBSTITUTE(A10,CHAR(13),""),FIND(CHAR(10),SUBSTITUTE(A10,CHAR(13),"")&amp;CHAR(10))-1)),(FIND("~",SUBSTITUTE(LEFT((" "&amp;LEFT(SUBSTITUTE(A10,CHAR(13),""),FIND(CHAR(10),SUBSTITUTE(A10,CHAR(13),"")&amp;CHAR(10))-1)),FIND(".",(" "&amp;LEFT(SUBSTITUTE(A10,CHAR(13),""),FIND(CHAR(10),SUBSTITUTE(A10,CHAR(13),"")&amp;CHAR(10))-1))))," ","~",LEN(LEFT((" "&amp;LEFT(SUBSTITUTE(A10,CHAR(13),""),FIND(CHAR(10),SUBSTITUTE(A10,CHAR(13),"")&amp;CHAR(10))-1)),FIND(".",(" "&amp;LEFT(SUBSTITUTE(A10,CHAR(13),""),FIND(CHAR(10),SUBSTITUTE(A10,CHAR(13),"")&amp;CHAR(10))-1)))))-LEN(SUBSTITUTE(LEFT((" "&amp;LEFT(SUBSTITUTE(A10,CHAR(13),""),FIND(CHAR(10),SUBSTITUTE(A10,CHAR(13),"")&amp;CHAR(10))-1)),FIND(".",(" "&amp;LEFT(SUBSTITUTE(A10,CHAR(13),""),FIND(CHAR(10),SUBSTITUTE(A10,CHAR(13),"")&amp;CHAR(10))-1))))," ",""))))+1),FIND(" ",(" "&amp;LEFT(SUBSTITUTE(A10,CHAR(13),""),FIND(CHAR(10),SUBSTITUTE(A10,CHAR(13),"")&amp;CHAR(10))-1))&amp;" ",FIND(".",(" "&amp;LEFT(SUBSTITUTE(A10,CHAR(13),""),FIND(CHAR(10),SUBSTITUTE(A10,CHAR(13),"")&amp;CHAR(10))-1))))-(FIND("~",SUBSTITUTE(LEFT((" "&amp;LEFT(SUBSTITUTE(A10,CHAR(13),""),FIND(CHAR(10),SUBSTITUTE(A10,CHAR(13),"")&amp;CHAR(10))-1)),FIND(".",(" "&amp;LEFT(SUBSTITUTE(A10,CHAR(13),""),FIND(CHAR(10),SUBSTITUTE(A10,CHAR(13),"")&amp;CHAR(10))-1))))," ","~",LEN(LEFT((" "&amp;LEFT(SUBSTITUTE(A10,CHAR(13),""),FIND(CHAR(10),SUBSTITUTE(A10,CHAR(13),"")&amp;CHAR(10))-1)),FIND(".",(" "&amp;LEFT(SUBSTITUTE(A10,CHAR(13),""),FIND(CHAR(10),SUBSTITUTE(A10,CHAR(13),"")&amp;CHAR(10))-1)))))-LEN(SUBSTITUTE(LEFT((" "&amp;LEFT(SUBSTITUTE(A10,CHAR(13),""),FIND(CHAR(10),SUBSTITUTE(A10,CHAR(13),"")&amp;CHAR(10))-1)),FIND(".",(" "&amp;LEFT(SUBSTITUTE(A10,CHAR(13),""),FIND(CHAR(10),SUBSTITUTE(A10,CHAR(13),"")&amp;CHAR(10))-1))))," ",""))))+1)),""))</f>
        <v/>
      </c>
    </row>
    <row r="11" customFormat="false" ht="30" hidden="false" customHeight="true" outlineLevel="0" collapsed="false">
      <c r="A11" s="11" t="str">
        <f aca="false">IFERROR(INDEX(Pegar!$A$3:$A$1002,MATCH(7,Pegar!$B$3:$B$1002,0))&amp;IF(LEFT(INDEX(Pegar!$A$3:$A$1003,MATCH(7,Pegar!$B$3:$B$1002,0)+1),5)="DESC=",CHAR(10)&amp;INDEX(Pegar!$A$3:$A$1003,MATCH(7,Pegar!$B$3:$B$1002,0)+1),""),"")</f>
        <v/>
      </c>
      <c r="B11" s="12" t="str">
        <f aca="false">IF(TRIM(A11)="","",IFERROR(MID(SUBSTITUTE(SUBSTITUTE(A11,CHAR(10)," "),CHAR(13)," "),FIND(" MT"," "&amp;SUBSTITUTE(SUBSTITUTE(A11,CHAR(10)," "),CHAR(13)," ")),FIND(" ",SUBSTITUTE(SUBSTITUTE(A11,CHAR(10)," "),CHAR(13)," ")&amp;" ",FIND(" MT"," "&amp;SUBSTITUTE(SUBSTITUTE(A11,CHAR(10)," "),CHAR(13)," ")))-FIND(" MT"," "&amp;SUBSTITUTE(SUBSTITUTE(A11,CHAR(10)," "),CHAR(13)," "))),"MT no encontrado"))</f>
        <v/>
      </c>
      <c r="C11" s="15" t="str">
        <f aca="false">IF(TRIM(A11)="","",IF(D11="",FALSE(),SUBSTITUTE(SUBSTITUTE(SUBSTITUTE(D11,".",""),"0",""),"-","")&lt;&gt;""))</f>
        <v/>
      </c>
      <c r="D11" s="14" t="str">
        <f aca="false">IF(TRIM(A11)="","",IFERROR(MID((" "&amp;LEFT(SUBSTITUTE(A11,CHAR(13),""),FIND(CHAR(10),SUBSTITUTE(A11,CHAR(13),"")&amp;CHAR(10))-1)),(FIND("~",SUBSTITUTE(LEFT((" "&amp;LEFT(SUBSTITUTE(A11,CHAR(13),""),FIND(CHAR(10),SUBSTITUTE(A11,CHAR(13),"")&amp;CHAR(10))-1)),FIND(".",(" "&amp;LEFT(SUBSTITUTE(A11,CHAR(13),""),FIND(CHAR(10),SUBSTITUTE(A11,CHAR(13),"")&amp;CHAR(10))-1))))," ","~",LEN(LEFT((" "&amp;LEFT(SUBSTITUTE(A11,CHAR(13),""),FIND(CHAR(10),SUBSTITUTE(A11,CHAR(13),"")&amp;CHAR(10))-1)),FIND(".",(" "&amp;LEFT(SUBSTITUTE(A11,CHAR(13),""),FIND(CHAR(10),SUBSTITUTE(A11,CHAR(13),"")&amp;CHAR(10))-1)))))-LEN(SUBSTITUTE(LEFT((" "&amp;LEFT(SUBSTITUTE(A11,CHAR(13),""),FIND(CHAR(10),SUBSTITUTE(A11,CHAR(13),"")&amp;CHAR(10))-1)),FIND(".",(" "&amp;LEFT(SUBSTITUTE(A11,CHAR(13),""),FIND(CHAR(10),SUBSTITUTE(A11,CHAR(13),"")&amp;CHAR(10))-1))))," ",""))))+1),FIND(" ",(" "&amp;LEFT(SUBSTITUTE(A11,CHAR(13),""),FIND(CHAR(10),SUBSTITUTE(A11,CHAR(13),"")&amp;CHAR(10))-1))&amp;" ",FIND(".",(" "&amp;LEFT(SUBSTITUTE(A11,CHAR(13),""),FIND(CHAR(10),SUBSTITUTE(A11,CHAR(13),"")&amp;CHAR(10))-1))))-(FIND("~",SUBSTITUTE(LEFT((" "&amp;LEFT(SUBSTITUTE(A11,CHAR(13),""),FIND(CHAR(10),SUBSTITUTE(A11,CHAR(13),"")&amp;CHAR(10))-1)),FIND(".",(" "&amp;LEFT(SUBSTITUTE(A11,CHAR(13),""),FIND(CHAR(10),SUBSTITUTE(A11,CHAR(13),"")&amp;CHAR(10))-1))))," ","~",LEN(LEFT((" "&amp;LEFT(SUBSTITUTE(A11,CHAR(13),""),FIND(CHAR(10),SUBSTITUTE(A11,CHAR(13),"")&amp;CHAR(10))-1)),FIND(".",(" "&amp;LEFT(SUBSTITUTE(A11,CHAR(13),""),FIND(CHAR(10),SUBSTITUTE(A11,CHAR(13),"")&amp;CHAR(10))-1)))))-LEN(SUBSTITUTE(LEFT((" "&amp;LEFT(SUBSTITUTE(A11,CHAR(13),""),FIND(CHAR(10),SUBSTITUTE(A11,CHAR(13),"")&amp;CHAR(10))-1)),FIND(".",(" "&amp;LEFT(SUBSTITUTE(A11,CHAR(13),""),FIND(CHAR(10),SUBSTITUTE(A11,CHAR(13),"")&amp;CHAR(10))-1))))," ",""))))+1)),""))</f>
        <v/>
      </c>
    </row>
    <row r="12" customFormat="false" ht="30" hidden="false" customHeight="true" outlineLevel="0" collapsed="false">
      <c r="A12" s="11" t="str">
        <f aca="false">IFERROR(INDEX(Pegar!$A$3:$A$1002,MATCH(8,Pegar!$B$3:$B$1002,0))&amp;IF(LEFT(INDEX(Pegar!$A$3:$A$1003,MATCH(8,Pegar!$B$3:$B$1002,0)+1),5)="DESC=",CHAR(10)&amp;INDEX(Pegar!$A$3:$A$1003,MATCH(8,Pegar!$B$3:$B$1002,0)+1),""),"")</f>
        <v/>
      </c>
      <c r="B12" s="12" t="str">
        <f aca="false">IF(TRIM(A12)="","",IFERROR(MID(SUBSTITUTE(SUBSTITUTE(A12,CHAR(10)," "),CHAR(13)," "),FIND(" MT"," "&amp;SUBSTITUTE(SUBSTITUTE(A12,CHAR(10)," "),CHAR(13)," ")),FIND(" ",SUBSTITUTE(SUBSTITUTE(A12,CHAR(10)," "),CHAR(13)," ")&amp;" ",FIND(" MT"," "&amp;SUBSTITUTE(SUBSTITUTE(A12,CHAR(10)," "),CHAR(13)," ")))-FIND(" MT"," "&amp;SUBSTITUTE(SUBSTITUTE(A12,CHAR(10)," "),CHAR(13)," "))),"MT no encontrado"))</f>
        <v/>
      </c>
      <c r="C12" s="15" t="str">
        <f aca="false">IF(TRIM(A12)="","",IF(D12="",FALSE(),SUBSTITUTE(SUBSTITUTE(SUBSTITUTE(D12,".",""),"0",""),"-","")&lt;&gt;""))</f>
        <v/>
      </c>
      <c r="D12" s="14" t="str">
        <f aca="false">IF(TRIM(A12)="","",IFERROR(MID((" "&amp;LEFT(SUBSTITUTE(A12,CHAR(13),""),FIND(CHAR(10),SUBSTITUTE(A12,CHAR(13),"")&amp;CHAR(10))-1)),(FIND("~",SUBSTITUTE(LEFT((" "&amp;LEFT(SUBSTITUTE(A12,CHAR(13),""),FIND(CHAR(10),SUBSTITUTE(A12,CHAR(13),"")&amp;CHAR(10))-1)),FIND(".",(" "&amp;LEFT(SUBSTITUTE(A12,CHAR(13),""),FIND(CHAR(10),SUBSTITUTE(A12,CHAR(13),"")&amp;CHAR(10))-1))))," ","~",LEN(LEFT((" "&amp;LEFT(SUBSTITUTE(A12,CHAR(13),""),FIND(CHAR(10),SUBSTITUTE(A12,CHAR(13),"")&amp;CHAR(10))-1)),FIND(".",(" "&amp;LEFT(SUBSTITUTE(A12,CHAR(13),""),FIND(CHAR(10),SUBSTITUTE(A12,CHAR(13),"")&amp;CHAR(10))-1)))))-LEN(SUBSTITUTE(LEFT((" "&amp;LEFT(SUBSTITUTE(A12,CHAR(13),""),FIND(CHAR(10),SUBSTITUTE(A12,CHAR(13),"")&amp;CHAR(10))-1)),FIND(".",(" "&amp;LEFT(SUBSTITUTE(A12,CHAR(13),""),FIND(CHAR(10),SUBSTITUTE(A12,CHAR(13),"")&amp;CHAR(10))-1))))," ",""))))+1),FIND(" ",(" "&amp;LEFT(SUBSTITUTE(A12,CHAR(13),""),FIND(CHAR(10),SUBSTITUTE(A12,CHAR(13),"")&amp;CHAR(10))-1))&amp;" ",FIND(".",(" "&amp;LEFT(SUBSTITUTE(A12,CHAR(13),""),FIND(CHAR(10),SUBSTITUTE(A12,CHAR(13),"")&amp;CHAR(10))-1))))-(FIND("~",SUBSTITUTE(LEFT((" "&amp;LEFT(SUBSTITUTE(A12,CHAR(13),""),FIND(CHAR(10),SUBSTITUTE(A12,CHAR(13),"")&amp;CHAR(10))-1)),FIND(".",(" "&amp;LEFT(SUBSTITUTE(A12,CHAR(13),""),FIND(CHAR(10),SUBSTITUTE(A12,CHAR(13),"")&amp;CHAR(10))-1))))," ","~",LEN(LEFT((" "&amp;LEFT(SUBSTITUTE(A12,CHAR(13),""),FIND(CHAR(10),SUBSTITUTE(A12,CHAR(13),"")&amp;CHAR(10))-1)),FIND(".",(" "&amp;LEFT(SUBSTITUTE(A12,CHAR(13),""),FIND(CHAR(10),SUBSTITUTE(A12,CHAR(13),"")&amp;CHAR(10))-1)))))-LEN(SUBSTITUTE(LEFT((" "&amp;LEFT(SUBSTITUTE(A12,CHAR(13),""),FIND(CHAR(10),SUBSTITUTE(A12,CHAR(13),"")&amp;CHAR(10))-1)),FIND(".",(" "&amp;LEFT(SUBSTITUTE(A12,CHAR(13),""),FIND(CHAR(10),SUBSTITUTE(A12,CHAR(13),"")&amp;CHAR(10))-1))))," ",""))))+1)),""))</f>
        <v/>
      </c>
    </row>
    <row r="13" customFormat="false" ht="30" hidden="false" customHeight="true" outlineLevel="0" collapsed="false">
      <c r="A13" s="11" t="str">
        <f aca="false">IFERROR(INDEX(Pegar!$A$3:$A$1002,MATCH(9,Pegar!$B$3:$B$1002,0))&amp;IF(LEFT(INDEX(Pegar!$A$3:$A$1003,MATCH(9,Pegar!$B$3:$B$1002,0)+1),5)="DESC=",CHAR(10)&amp;INDEX(Pegar!$A$3:$A$1003,MATCH(9,Pegar!$B$3:$B$1002,0)+1),""),"")</f>
        <v/>
      </c>
      <c r="B13" s="12" t="str">
        <f aca="false">IF(TRIM(A13)="","",IFERROR(MID(SUBSTITUTE(SUBSTITUTE(A13,CHAR(10)," "),CHAR(13)," "),FIND(" MT"," "&amp;SUBSTITUTE(SUBSTITUTE(A13,CHAR(10)," "),CHAR(13)," ")),FIND(" ",SUBSTITUTE(SUBSTITUTE(A13,CHAR(10)," "),CHAR(13)," ")&amp;" ",FIND(" MT"," "&amp;SUBSTITUTE(SUBSTITUTE(A13,CHAR(10)," "),CHAR(13)," ")))-FIND(" MT"," "&amp;SUBSTITUTE(SUBSTITUTE(A13,CHAR(10)," "),CHAR(13)," "))),"MT no encontrado"))</f>
        <v/>
      </c>
      <c r="C13" s="15" t="str">
        <f aca="false">IF(TRIM(A13)="","",IF(D13="",FALSE(),SUBSTITUTE(SUBSTITUTE(SUBSTITUTE(D13,".",""),"0",""),"-","")&lt;&gt;""))</f>
        <v/>
      </c>
      <c r="D13" s="14" t="str">
        <f aca="false">IF(TRIM(A13)="","",IFERROR(MID((" "&amp;LEFT(SUBSTITUTE(A13,CHAR(13),""),FIND(CHAR(10),SUBSTITUTE(A13,CHAR(13),"")&amp;CHAR(10))-1)),(FIND("~",SUBSTITUTE(LEFT((" "&amp;LEFT(SUBSTITUTE(A13,CHAR(13),""),FIND(CHAR(10),SUBSTITUTE(A13,CHAR(13),"")&amp;CHAR(10))-1)),FIND(".",(" "&amp;LEFT(SUBSTITUTE(A13,CHAR(13),""),FIND(CHAR(10),SUBSTITUTE(A13,CHAR(13),"")&amp;CHAR(10))-1))))," ","~",LEN(LEFT((" "&amp;LEFT(SUBSTITUTE(A13,CHAR(13),""),FIND(CHAR(10),SUBSTITUTE(A13,CHAR(13),"")&amp;CHAR(10))-1)),FIND(".",(" "&amp;LEFT(SUBSTITUTE(A13,CHAR(13),""),FIND(CHAR(10),SUBSTITUTE(A13,CHAR(13),"")&amp;CHAR(10))-1)))))-LEN(SUBSTITUTE(LEFT((" "&amp;LEFT(SUBSTITUTE(A13,CHAR(13),""),FIND(CHAR(10),SUBSTITUTE(A13,CHAR(13),"")&amp;CHAR(10))-1)),FIND(".",(" "&amp;LEFT(SUBSTITUTE(A13,CHAR(13),""),FIND(CHAR(10),SUBSTITUTE(A13,CHAR(13),"")&amp;CHAR(10))-1))))," ",""))))+1),FIND(" ",(" "&amp;LEFT(SUBSTITUTE(A13,CHAR(13),""),FIND(CHAR(10),SUBSTITUTE(A13,CHAR(13),"")&amp;CHAR(10))-1))&amp;" ",FIND(".",(" "&amp;LEFT(SUBSTITUTE(A13,CHAR(13),""),FIND(CHAR(10),SUBSTITUTE(A13,CHAR(13),"")&amp;CHAR(10))-1))))-(FIND("~",SUBSTITUTE(LEFT((" "&amp;LEFT(SUBSTITUTE(A13,CHAR(13),""),FIND(CHAR(10),SUBSTITUTE(A13,CHAR(13),"")&amp;CHAR(10))-1)),FIND(".",(" "&amp;LEFT(SUBSTITUTE(A13,CHAR(13),""),FIND(CHAR(10),SUBSTITUTE(A13,CHAR(13),"")&amp;CHAR(10))-1))))," ","~",LEN(LEFT((" "&amp;LEFT(SUBSTITUTE(A13,CHAR(13),""),FIND(CHAR(10),SUBSTITUTE(A13,CHAR(13),"")&amp;CHAR(10))-1)),FIND(".",(" "&amp;LEFT(SUBSTITUTE(A13,CHAR(13),""),FIND(CHAR(10),SUBSTITUTE(A13,CHAR(13),"")&amp;CHAR(10))-1)))))-LEN(SUBSTITUTE(LEFT((" "&amp;LEFT(SUBSTITUTE(A13,CHAR(13),""),FIND(CHAR(10),SUBSTITUTE(A13,CHAR(13),"")&amp;CHAR(10))-1)),FIND(".",(" "&amp;LEFT(SUBSTITUTE(A13,CHAR(13),""),FIND(CHAR(10),SUBSTITUTE(A13,CHAR(13),"")&amp;CHAR(10))-1))))," ",""))))+1)),""))</f>
        <v/>
      </c>
    </row>
    <row r="14" customFormat="false" ht="30" hidden="false" customHeight="true" outlineLevel="0" collapsed="false">
      <c r="A14" s="11" t="str">
        <f aca="false">IFERROR(INDEX(Pegar!$A$3:$A$1002,MATCH(10,Pegar!$B$3:$B$1002,0))&amp;IF(LEFT(INDEX(Pegar!$A$3:$A$1003,MATCH(10,Pegar!$B$3:$B$1002,0)+1),5)="DESC=",CHAR(10)&amp;INDEX(Pegar!$A$3:$A$1003,MATCH(10,Pegar!$B$3:$B$1002,0)+1),""),"")</f>
        <v/>
      </c>
      <c r="B14" s="12" t="str">
        <f aca="false">IF(TRIM(A14)="","",IFERROR(MID(SUBSTITUTE(SUBSTITUTE(A14,CHAR(10)," "),CHAR(13)," "),FIND(" MT"," "&amp;SUBSTITUTE(SUBSTITUTE(A14,CHAR(10)," "),CHAR(13)," ")),FIND(" ",SUBSTITUTE(SUBSTITUTE(A14,CHAR(10)," "),CHAR(13)," ")&amp;" ",FIND(" MT"," "&amp;SUBSTITUTE(SUBSTITUTE(A14,CHAR(10)," "),CHAR(13)," ")))-FIND(" MT"," "&amp;SUBSTITUTE(SUBSTITUTE(A14,CHAR(10)," "),CHAR(13)," "))),"MT no encontrado"))</f>
        <v/>
      </c>
      <c r="C14" s="15" t="str">
        <f aca="false">IF(TRIM(A14)="","",IF(D14="",FALSE(),SUBSTITUTE(SUBSTITUTE(SUBSTITUTE(D14,".",""),"0",""),"-","")&lt;&gt;""))</f>
        <v/>
      </c>
      <c r="D14" s="14" t="str">
        <f aca="false">IF(TRIM(A14)="","",IFERROR(MID((" "&amp;LEFT(SUBSTITUTE(A14,CHAR(13),""),FIND(CHAR(10),SUBSTITUTE(A14,CHAR(13),"")&amp;CHAR(10))-1)),(FIND("~",SUBSTITUTE(LEFT((" "&amp;LEFT(SUBSTITUTE(A14,CHAR(13),""),FIND(CHAR(10),SUBSTITUTE(A14,CHAR(13),"")&amp;CHAR(10))-1)),FIND(".",(" "&amp;LEFT(SUBSTITUTE(A14,CHAR(13),""),FIND(CHAR(10),SUBSTITUTE(A14,CHAR(13),"")&amp;CHAR(10))-1))))," ","~",LEN(LEFT((" "&amp;LEFT(SUBSTITUTE(A14,CHAR(13),""),FIND(CHAR(10),SUBSTITUTE(A14,CHAR(13),"")&amp;CHAR(10))-1)),FIND(".",(" "&amp;LEFT(SUBSTITUTE(A14,CHAR(13),""),FIND(CHAR(10),SUBSTITUTE(A14,CHAR(13),"")&amp;CHAR(10))-1)))))-LEN(SUBSTITUTE(LEFT((" "&amp;LEFT(SUBSTITUTE(A14,CHAR(13),""),FIND(CHAR(10),SUBSTITUTE(A14,CHAR(13),"")&amp;CHAR(10))-1)),FIND(".",(" "&amp;LEFT(SUBSTITUTE(A14,CHAR(13),""),FIND(CHAR(10),SUBSTITUTE(A14,CHAR(13),"")&amp;CHAR(10))-1))))," ",""))))+1),FIND(" ",(" "&amp;LEFT(SUBSTITUTE(A14,CHAR(13),""),FIND(CHAR(10),SUBSTITUTE(A14,CHAR(13),"")&amp;CHAR(10))-1))&amp;" ",FIND(".",(" "&amp;LEFT(SUBSTITUTE(A14,CHAR(13),""),FIND(CHAR(10),SUBSTITUTE(A14,CHAR(13),"")&amp;CHAR(10))-1))))-(FIND("~",SUBSTITUTE(LEFT((" "&amp;LEFT(SUBSTITUTE(A14,CHAR(13),""),FIND(CHAR(10),SUBSTITUTE(A14,CHAR(13),"")&amp;CHAR(10))-1)),FIND(".",(" "&amp;LEFT(SUBSTITUTE(A14,CHAR(13),""),FIND(CHAR(10),SUBSTITUTE(A14,CHAR(13),"")&amp;CHAR(10))-1))))," ","~",LEN(LEFT((" "&amp;LEFT(SUBSTITUTE(A14,CHAR(13),""),FIND(CHAR(10),SUBSTITUTE(A14,CHAR(13),"")&amp;CHAR(10))-1)),FIND(".",(" "&amp;LEFT(SUBSTITUTE(A14,CHAR(13),""),FIND(CHAR(10),SUBSTITUTE(A14,CHAR(13),"")&amp;CHAR(10))-1)))))-LEN(SUBSTITUTE(LEFT((" "&amp;LEFT(SUBSTITUTE(A14,CHAR(13),""),FIND(CHAR(10),SUBSTITUTE(A14,CHAR(13),"")&amp;CHAR(10))-1)),FIND(".",(" "&amp;LEFT(SUBSTITUTE(A14,CHAR(13),""),FIND(CHAR(10),SUBSTITUTE(A14,CHAR(13),"")&amp;CHAR(10))-1))))," ",""))))+1)),""))</f>
        <v/>
      </c>
    </row>
    <row r="15" customFormat="false" ht="30" hidden="false" customHeight="true" outlineLevel="0" collapsed="false">
      <c r="A15" s="11" t="str">
        <f aca="false">IFERROR(INDEX(Pegar!$A$3:$A$1002,MATCH(11,Pegar!$B$3:$B$1002,0))&amp;IF(LEFT(INDEX(Pegar!$A$3:$A$1003,MATCH(11,Pegar!$B$3:$B$1002,0)+1),5)="DESC=",CHAR(10)&amp;INDEX(Pegar!$A$3:$A$1003,MATCH(11,Pegar!$B$3:$B$1002,0)+1),""),"")</f>
        <v/>
      </c>
      <c r="B15" s="12" t="str">
        <f aca="false">IF(TRIM(A15)="","",IFERROR(MID(SUBSTITUTE(SUBSTITUTE(A15,CHAR(10)," "),CHAR(13)," "),FIND(" MT"," "&amp;SUBSTITUTE(SUBSTITUTE(A15,CHAR(10)," "),CHAR(13)," ")),FIND(" ",SUBSTITUTE(SUBSTITUTE(A15,CHAR(10)," "),CHAR(13)," ")&amp;" ",FIND(" MT"," "&amp;SUBSTITUTE(SUBSTITUTE(A15,CHAR(10)," "),CHAR(13)," ")))-FIND(" MT"," "&amp;SUBSTITUTE(SUBSTITUTE(A15,CHAR(10)," "),CHAR(13)," "))),"MT no encontrado"))</f>
        <v/>
      </c>
      <c r="C15" s="15" t="str">
        <f aca="false">IF(TRIM(A15)="","",IF(D15="",FALSE(),SUBSTITUTE(SUBSTITUTE(SUBSTITUTE(D15,".",""),"0",""),"-","")&lt;&gt;""))</f>
        <v/>
      </c>
      <c r="D15" s="14" t="str">
        <f aca="false">IF(TRIM(A15)="","",IFERROR(MID((" "&amp;LEFT(SUBSTITUTE(A15,CHAR(13),""),FIND(CHAR(10),SUBSTITUTE(A15,CHAR(13),"")&amp;CHAR(10))-1)),(FIND("~",SUBSTITUTE(LEFT((" "&amp;LEFT(SUBSTITUTE(A15,CHAR(13),""),FIND(CHAR(10),SUBSTITUTE(A15,CHAR(13),"")&amp;CHAR(10))-1)),FIND(".",(" "&amp;LEFT(SUBSTITUTE(A15,CHAR(13),""),FIND(CHAR(10),SUBSTITUTE(A15,CHAR(13),"")&amp;CHAR(10))-1))))," ","~",LEN(LEFT((" "&amp;LEFT(SUBSTITUTE(A15,CHAR(13),""),FIND(CHAR(10),SUBSTITUTE(A15,CHAR(13),"")&amp;CHAR(10))-1)),FIND(".",(" "&amp;LEFT(SUBSTITUTE(A15,CHAR(13),""),FIND(CHAR(10),SUBSTITUTE(A15,CHAR(13),"")&amp;CHAR(10))-1)))))-LEN(SUBSTITUTE(LEFT((" "&amp;LEFT(SUBSTITUTE(A15,CHAR(13),""),FIND(CHAR(10),SUBSTITUTE(A15,CHAR(13),"")&amp;CHAR(10))-1)),FIND(".",(" "&amp;LEFT(SUBSTITUTE(A15,CHAR(13),""),FIND(CHAR(10),SUBSTITUTE(A15,CHAR(13),"")&amp;CHAR(10))-1))))," ",""))))+1),FIND(" ",(" "&amp;LEFT(SUBSTITUTE(A15,CHAR(13),""),FIND(CHAR(10),SUBSTITUTE(A15,CHAR(13),"")&amp;CHAR(10))-1))&amp;" ",FIND(".",(" "&amp;LEFT(SUBSTITUTE(A15,CHAR(13),""),FIND(CHAR(10),SUBSTITUTE(A15,CHAR(13),"")&amp;CHAR(10))-1))))-(FIND("~",SUBSTITUTE(LEFT((" "&amp;LEFT(SUBSTITUTE(A15,CHAR(13),""),FIND(CHAR(10),SUBSTITUTE(A15,CHAR(13),"")&amp;CHAR(10))-1)),FIND(".",(" "&amp;LEFT(SUBSTITUTE(A15,CHAR(13),""),FIND(CHAR(10),SUBSTITUTE(A15,CHAR(13),"")&amp;CHAR(10))-1))))," ","~",LEN(LEFT((" "&amp;LEFT(SUBSTITUTE(A15,CHAR(13),""),FIND(CHAR(10),SUBSTITUTE(A15,CHAR(13),"")&amp;CHAR(10))-1)),FIND(".",(" "&amp;LEFT(SUBSTITUTE(A15,CHAR(13),""),FIND(CHAR(10),SUBSTITUTE(A15,CHAR(13),"")&amp;CHAR(10))-1)))))-LEN(SUBSTITUTE(LEFT((" "&amp;LEFT(SUBSTITUTE(A15,CHAR(13),""),FIND(CHAR(10),SUBSTITUTE(A15,CHAR(13),"")&amp;CHAR(10))-1)),FIND(".",(" "&amp;LEFT(SUBSTITUTE(A15,CHAR(13),""),FIND(CHAR(10),SUBSTITUTE(A15,CHAR(13),"")&amp;CHAR(10))-1))))," ",""))))+1)),""))</f>
        <v/>
      </c>
    </row>
    <row r="16" customFormat="false" ht="30" hidden="false" customHeight="true" outlineLevel="0" collapsed="false">
      <c r="A16" s="11" t="str">
        <f aca="false">IFERROR(INDEX(Pegar!$A$3:$A$1002,MATCH(12,Pegar!$B$3:$B$1002,0))&amp;IF(LEFT(INDEX(Pegar!$A$3:$A$1003,MATCH(12,Pegar!$B$3:$B$1002,0)+1),5)="DESC=",CHAR(10)&amp;INDEX(Pegar!$A$3:$A$1003,MATCH(12,Pegar!$B$3:$B$1002,0)+1),""),"")</f>
        <v/>
      </c>
      <c r="B16" s="12" t="str">
        <f aca="false">IF(TRIM(A16)="","",IFERROR(MID(SUBSTITUTE(SUBSTITUTE(A16,CHAR(10)," "),CHAR(13)," "),FIND(" MT"," "&amp;SUBSTITUTE(SUBSTITUTE(A16,CHAR(10)," "),CHAR(13)," ")),FIND(" ",SUBSTITUTE(SUBSTITUTE(A16,CHAR(10)," "),CHAR(13)," ")&amp;" ",FIND(" MT"," "&amp;SUBSTITUTE(SUBSTITUTE(A16,CHAR(10)," "),CHAR(13)," ")))-FIND(" MT"," "&amp;SUBSTITUTE(SUBSTITUTE(A16,CHAR(10)," "),CHAR(13)," "))),"MT no encontrado"))</f>
        <v/>
      </c>
      <c r="C16" s="15" t="str">
        <f aca="false">IF(TRIM(A16)="","",IF(D16="",FALSE(),SUBSTITUTE(SUBSTITUTE(SUBSTITUTE(D16,".",""),"0",""),"-","")&lt;&gt;""))</f>
        <v/>
      </c>
      <c r="D16" s="14" t="str">
        <f aca="false">IF(TRIM(A16)="","",IFERROR(MID((" "&amp;LEFT(SUBSTITUTE(A16,CHAR(13),""),FIND(CHAR(10),SUBSTITUTE(A16,CHAR(13),"")&amp;CHAR(10))-1)),(FIND("~",SUBSTITUTE(LEFT((" "&amp;LEFT(SUBSTITUTE(A16,CHAR(13),""),FIND(CHAR(10),SUBSTITUTE(A16,CHAR(13),"")&amp;CHAR(10))-1)),FIND(".",(" "&amp;LEFT(SUBSTITUTE(A16,CHAR(13),""),FIND(CHAR(10),SUBSTITUTE(A16,CHAR(13),"")&amp;CHAR(10))-1))))," ","~",LEN(LEFT((" "&amp;LEFT(SUBSTITUTE(A16,CHAR(13),""),FIND(CHAR(10),SUBSTITUTE(A16,CHAR(13),"")&amp;CHAR(10))-1)),FIND(".",(" "&amp;LEFT(SUBSTITUTE(A16,CHAR(13),""),FIND(CHAR(10),SUBSTITUTE(A16,CHAR(13),"")&amp;CHAR(10))-1)))))-LEN(SUBSTITUTE(LEFT((" "&amp;LEFT(SUBSTITUTE(A16,CHAR(13),""),FIND(CHAR(10),SUBSTITUTE(A16,CHAR(13),"")&amp;CHAR(10))-1)),FIND(".",(" "&amp;LEFT(SUBSTITUTE(A16,CHAR(13),""),FIND(CHAR(10),SUBSTITUTE(A16,CHAR(13),"")&amp;CHAR(10))-1))))," ",""))))+1),FIND(" ",(" "&amp;LEFT(SUBSTITUTE(A16,CHAR(13),""),FIND(CHAR(10),SUBSTITUTE(A16,CHAR(13),"")&amp;CHAR(10))-1))&amp;" ",FIND(".",(" "&amp;LEFT(SUBSTITUTE(A16,CHAR(13),""),FIND(CHAR(10),SUBSTITUTE(A16,CHAR(13),"")&amp;CHAR(10))-1))))-(FIND("~",SUBSTITUTE(LEFT((" "&amp;LEFT(SUBSTITUTE(A16,CHAR(13),""),FIND(CHAR(10),SUBSTITUTE(A16,CHAR(13),"")&amp;CHAR(10))-1)),FIND(".",(" "&amp;LEFT(SUBSTITUTE(A16,CHAR(13),""),FIND(CHAR(10),SUBSTITUTE(A16,CHAR(13),"")&amp;CHAR(10))-1))))," ","~",LEN(LEFT((" "&amp;LEFT(SUBSTITUTE(A16,CHAR(13),""),FIND(CHAR(10),SUBSTITUTE(A16,CHAR(13),"")&amp;CHAR(10))-1)),FIND(".",(" "&amp;LEFT(SUBSTITUTE(A16,CHAR(13),""),FIND(CHAR(10),SUBSTITUTE(A16,CHAR(13),"")&amp;CHAR(10))-1)))))-LEN(SUBSTITUTE(LEFT((" "&amp;LEFT(SUBSTITUTE(A16,CHAR(13),""),FIND(CHAR(10),SUBSTITUTE(A16,CHAR(13),"")&amp;CHAR(10))-1)),FIND(".",(" "&amp;LEFT(SUBSTITUTE(A16,CHAR(13),""),FIND(CHAR(10),SUBSTITUTE(A16,CHAR(13),"")&amp;CHAR(10))-1))))," ",""))))+1)),""))</f>
        <v/>
      </c>
    </row>
    <row r="17" customFormat="false" ht="30" hidden="false" customHeight="true" outlineLevel="0" collapsed="false">
      <c r="A17" s="11" t="str">
        <f aca="false">IFERROR(INDEX(Pegar!$A$3:$A$1002,MATCH(13,Pegar!$B$3:$B$1002,0))&amp;IF(LEFT(INDEX(Pegar!$A$3:$A$1003,MATCH(13,Pegar!$B$3:$B$1002,0)+1),5)="DESC=",CHAR(10)&amp;INDEX(Pegar!$A$3:$A$1003,MATCH(13,Pegar!$B$3:$B$1002,0)+1),""),"")</f>
        <v/>
      </c>
      <c r="B17" s="12" t="str">
        <f aca="false">IF(TRIM(A17)="","",IFERROR(MID(SUBSTITUTE(SUBSTITUTE(A17,CHAR(10)," "),CHAR(13)," "),FIND(" MT"," "&amp;SUBSTITUTE(SUBSTITUTE(A17,CHAR(10)," "),CHAR(13)," ")),FIND(" ",SUBSTITUTE(SUBSTITUTE(A17,CHAR(10)," "),CHAR(13)," ")&amp;" ",FIND(" MT"," "&amp;SUBSTITUTE(SUBSTITUTE(A17,CHAR(10)," "),CHAR(13)," ")))-FIND(" MT"," "&amp;SUBSTITUTE(SUBSTITUTE(A17,CHAR(10)," "),CHAR(13)," "))),"MT no encontrado"))</f>
        <v/>
      </c>
      <c r="C17" s="15" t="str">
        <f aca="false">IF(TRIM(A17)="","",IF(D17="",FALSE(),SUBSTITUTE(SUBSTITUTE(SUBSTITUTE(D17,".",""),"0",""),"-","")&lt;&gt;""))</f>
        <v/>
      </c>
      <c r="D17" s="14" t="str">
        <f aca="false">IF(TRIM(A17)="","",IFERROR(MID((" "&amp;LEFT(SUBSTITUTE(A17,CHAR(13),""),FIND(CHAR(10),SUBSTITUTE(A17,CHAR(13),"")&amp;CHAR(10))-1)),(FIND("~",SUBSTITUTE(LEFT((" "&amp;LEFT(SUBSTITUTE(A17,CHAR(13),""),FIND(CHAR(10),SUBSTITUTE(A17,CHAR(13),"")&amp;CHAR(10))-1)),FIND(".",(" "&amp;LEFT(SUBSTITUTE(A17,CHAR(13),""),FIND(CHAR(10),SUBSTITUTE(A17,CHAR(13),"")&amp;CHAR(10))-1))))," ","~",LEN(LEFT((" "&amp;LEFT(SUBSTITUTE(A17,CHAR(13),""),FIND(CHAR(10),SUBSTITUTE(A17,CHAR(13),"")&amp;CHAR(10))-1)),FIND(".",(" "&amp;LEFT(SUBSTITUTE(A17,CHAR(13),""),FIND(CHAR(10),SUBSTITUTE(A17,CHAR(13),"")&amp;CHAR(10))-1)))))-LEN(SUBSTITUTE(LEFT((" "&amp;LEFT(SUBSTITUTE(A17,CHAR(13),""),FIND(CHAR(10),SUBSTITUTE(A17,CHAR(13),"")&amp;CHAR(10))-1)),FIND(".",(" "&amp;LEFT(SUBSTITUTE(A17,CHAR(13),""),FIND(CHAR(10),SUBSTITUTE(A17,CHAR(13),"")&amp;CHAR(10))-1))))," ",""))))+1),FIND(" ",(" "&amp;LEFT(SUBSTITUTE(A17,CHAR(13),""),FIND(CHAR(10),SUBSTITUTE(A17,CHAR(13),"")&amp;CHAR(10))-1))&amp;" ",FIND(".",(" "&amp;LEFT(SUBSTITUTE(A17,CHAR(13),""),FIND(CHAR(10),SUBSTITUTE(A17,CHAR(13),"")&amp;CHAR(10))-1))))-(FIND("~",SUBSTITUTE(LEFT((" "&amp;LEFT(SUBSTITUTE(A17,CHAR(13),""),FIND(CHAR(10),SUBSTITUTE(A17,CHAR(13),"")&amp;CHAR(10))-1)),FIND(".",(" "&amp;LEFT(SUBSTITUTE(A17,CHAR(13),""),FIND(CHAR(10),SUBSTITUTE(A17,CHAR(13),"")&amp;CHAR(10))-1))))," ","~",LEN(LEFT((" "&amp;LEFT(SUBSTITUTE(A17,CHAR(13),""),FIND(CHAR(10),SUBSTITUTE(A17,CHAR(13),"")&amp;CHAR(10))-1)),FIND(".",(" "&amp;LEFT(SUBSTITUTE(A17,CHAR(13),""),FIND(CHAR(10),SUBSTITUTE(A17,CHAR(13),"")&amp;CHAR(10))-1)))))-LEN(SUBSTITUTE(LEFT((" "&amp;LEFT(SUBSTITUTE(A17,CHAR(13),""),FIND(CHAR(10),SUBSTITUTE(A17,CHAR(13),"")&amp;CHAR(10))-1)),FIND(".",(" "&amp;LEFT(SUBSTITUTE(A17,CHAR(13),""),FIND(CHAR(10),SUBSTITUTE(A17,CHAR(13),"")&amp;CHAR(10))-1))))," ",""))))+1)),""))</f>
        <v/>
      </c>
    </row>
    <row r="18" customFormat="false" ht="30" hidden="false" customHeight="true" outlineLevel="0" collapsed="false">
      <c r="A18" s="11" t="str">
        <f aca="false">IFERROR(INDEX(Pegar!$A$3:$A$1002,MATCH(14,Pegar!$B$3:$B$1002,0))&amp;IF(LEFT(INDEX(Pegar!$A$3:$A$1003,MATCH(14,Pegar!$B$3:$B$1002,0)+1),5)="DESC=",CHAR(10)&amp;INDEX(Pegar!$A$3:$A$1003,MATCH(14,Pegar!$B$3:$B$1002,0)+1),""),"")</f>
        <v/>
      </c>
      <c r="B18" s="12" t="str">
        <f aca="false">IF(TRIM(A18)="","",IFERROR(MID(SUBSTITUTE(SUBSTITUTE(A18,CHAR(10)," "),CHAR(13)," "),FIND(" MT"," "&amp;SUBSTITUTE(SUBSTITUTE(A18,CHAR(10)," "),CHAR(13)," ")),FIND(" ",SUBSTITUTE(SUBSTITUTE(A18,CHAR(10)," "),CHAR(13)," ")&amp;" ",FIND(" MT"," "&amp;SUBSTITUTE(SUBSTITUTE(A18,CHAR(10)," "),CHAR(13)," ")))-FIND(" MT"," "&amp;SUBSTITUTE(SUBSTITUTE(A18,CHAR(10)," "),CHAR(13)," "))),"MT no encontrado"))</f>
        <v/>
      </c>
      <c r="C18" s="15" t="str">
        <f aca="false">IF(TRIM(A18)="","",IF(D18="",FALSE(),SUBSTITUTE(SUBSTITUTE(SUBSTITUTE(D18,".",""),"0",""),"-","")&lt;&gt;""))</f>
        <v/>
      </c>
      <c r="D18" s="14" t="str">
        <f aca="false">IF(TRIM(A18)="","",IFERROR(MID((" "&amp;LEFT(SUBSTITUTE(A18,CHAR(13),""),FIND(CHAR(10),SUBSTITUTE(A18,CHAR(13),"")&amp;CHAR(10))-1)),(FIND("~",SUBSTITUTE(LEFT((" "&amp;LEFT(SUBSTITUTE(A18,CHAR(13),""),FIND(CHAR(10),SUBSTITUTE(A18,CHAR(13),"")&amp;CHAR(10))-1)),FIND(".",(" "&amp;LEFT(SUBSTITUTE(A18,CHAR(13),""),FIND(CHAR(10),SUBSTITUTE(A18,CHAR(13),"")&amp;CHAR(10))-1))))," ","~",LEN(LEFT((" "&amp;LEFT(SUBSTITUTE(A18,CHAR(13),""),FIND(CHAR(10),SUBSTITUTE(A18,CHAR(13),"")&amp;CHAR(10))-1)),FIND(".",(" "&amp;LEFT(SUBSTITUTE(A18,CHAR(13),""),FIND(CHAR(10),SUBSTITUTE(A18,CHAR(13),"")&amp;CHAR(10))-1)))))-LEN(SUBSTITUTE(LEFT((" "&amp;LEFT(SUBSTITUTE(A18,CHAR(13),""),FIND(CHAR(10),SUBSTITUTE(A18,CHAR(13),"")&amp;CHAR(10))-1)),FIND(".",(" "&amp;LEFT(SUBSTITUTE(A18,CHAR(13),""),FIND(CHAR(10),SUBSTITUTE(A18,CHAR(13),"")&amp;CHAR(10))-1))))," ",""))))+1),FIND(" ",(" "&amp;LEFT(SUBSTITUTE(A18,CHAR(13),""),FIND(CHAR(10),SUBSTITUTE(A18,CHAR(13),"")&amp;CHAR(10))-1))&amp;" ",FIND(".",(" "&amp;LEFT(SUBSTITUTE(A18,CHAR(13),""),FIND(CHAR(10),SUBSTITUTE(A18,CHAR(13),"")&amp;CHAR(10))-1))))-(FIND("~",SUBSTITUTE(LEFT((" "&amp;LEFT(SUBSTITUTE(A18,CHAR(13),""),FIND(CHAR(10),SUBSTITUTE(A18,CHAR(13),"")&amp;CHAR(10))-1)),FIND(".",(" "&amp;LEFT(SUBSTITUTE(A18,CHAR(13),""),FIND(CHAR(10),SUBSTITUTE(A18,CHAR(13),"")&amp;CHAR(10))-1))))," ","~",LEN(LEFT((" "&amp;LEFT(SUBSTITUTE(A18,CHAR(13),""),FIND(CHAR(10),SUBSTITUTE(A18,CHAR(13),"")&amp;CHAR(10))-1)),FIND(".",(" "&amp;LEFT(SUBSTITUTE(A18,CHAR(13),""),FIND(CHAR(10),SUBSTITUTE(A18,CHAR(13),"")&amp;CHAR(10))-1)))))-LEN(SUBSTITUTE(LEFT((" "&amp;LEFT(SUBSTITUTE(A18,CHAR(13),""),FIND(CHAR(10),SUBSTITUTE(A18,CHAR(13),"")&amp;CHAR(10))-1)),FIND(".",(" "&amp;LEFT(SUBSTITUTE(A18,CHAR(13),""),FIND(CHAR(10),SUBSTITUTE(A18,CHAR(13),"")&amp;CHAR(10))-1))))," ",""))))+1)),""))</f>
        <v/>
      </c>
    </row>
    <row r="19" customFormat="false" ht="30" hidden="false" customHeight="true" outlineLevel="0" collapsed="false">
      <c r="A19" s="11" t="str">
        <f aca="false">IFERROR(INDEX(Pegar!$A$3:$A$1002,MATCH(15,Pegar!$B$3:$B$1002,0))&amp;IF(LEFT(INDEX(Pegar!$A$3:$A$1003,MATCH(15,Pegar!$B$3:$B$1002,0)+1),5)="DESC=",CHAR(10)&amp;INDEX(Pegar!$A$3:$A$1003,MATCH(15,Pegar!$B$3:$B$1002,0)+1),""),"")</f>
        <v/>
      </c>
      <c r="B19" s="12" t="str">
        <f aca="false">IF(TRIM(A19)="","",IFERROR(MID(SUBSTITUTE(SUBSTITUTE(A19,CHAR(10)," "),CHAR(13)," "),FIND(" MT"," "&amp;SUBSTITUTE(SUBSTITUTE(A19,CHAR(10)," "),CHAR(13)," ")),FIND(" ",SUBSTITUTE(SUBSTITUTE(A19,CHAR(10)," "),CHAR(13)," ")&amp;" ",FIND(" MT"," "&amp;SUBSTITUTE(SUBSTITUTE(A19,CHAR(10)," "),CHAR(13)," ")))-FIND(" MT"," "&amp;SUBSTITUTE(SUBSTITUTE(A19,CHAR(10)," "),CHAR(13)," "))),"MT no encontrado"))</f>
        <v/>
      </c>
      <c r="C19" s="15" t="str">
        <f aca="false">IF(TRIM(A19)="","",IF(D19="",FALSE(),SUBSTITUTE(SUBSTITUTE(SUBSTITUTE(D19,".",""),"0",""),"-","")&lt;&gt;""))</f>
        <v/>
      </c>
      <c r="D19" s="14" t="str">
        <f aca="false">IF(TRIM(A19)="","",IFERROR(MID((" "&amp;LEFT(SUBSTITUTE(A19,CHAR(13),""),FIND(CHAR(10),SUBSTITUTE(A19,CHAR(13),"")&amp;CHAR(10))-1)),(FIND("~",SUBSTITUTE(LEFT((" "&amp;LEFT(SUBSTITUTE(A19,CHAR(13),""),FIND(CHAR(10),SUBSTITUTE(A19,CHAR(13),"")&amp;CHAR(10))-1)),FIND(".",(" "&amp;LEFT(SUBSTITUTE(A19,CHAR(13),""),FIND(CHAR(10),SUBSTITUTE(A19,CHAR(13),"")&amp;CHAR(10))-1))))," ","~",LEN(LEFT((" "&amp;LEFT(SUBSTITUTE(A19,CHAR(13),""),FIND(CHAR(10),SUBSTITUTE(A19,CHAR(13),"")&amp;CHAR(10))-1)),FIND(".",(" "&amp;LEFT(SUBSTITUTE(A19,CHAR(13),""),FIND(CHAR(10),SUBSTITUTE(A19,CHAR(13),"")&amp;CHAR(10))-1)))))-LEN(SUBSTITUTE(LEFT((" "&amp;LEFT(SUBSTITUTE(A19,CHAR(13),""),FIND(CHAR(10),SUBSTITUTE(A19,CHAR(13),"")&amp;CHAR(10))-1)),FIND(".",(" "&amp;LEFT(SUBSTITUTE(A19,CHAR(13),""),FIND(CHAR(10),SUBSTITUTE(A19,CHAR(13),"")&amp;CHAR(10))-1))))," ",""))))+1),FIND(" ",(" "&amp;LEFT(SUBSTITUTE(A19,CHAR(13),""),FIND(CHAR(10),SUBSTITUTE(A19,CHAR(13),"")&amp;CHAR(10))-1))&amp;" ",FIND(".",(" "&amp;LEFT(SUBSTITUTE(A19,CHAR(13),""),FIND(CHAR(10),SUBSTITUTE(A19,CHAR(13),"")&amp;CHAR(10))-1))))-(FIND("~",SUBSTITUTE(LEFT((" "&amp;LEFT(SUBSTITUTE(A19,CHAR(13),""),FIND(CHAR(10),SUBSTITUTE(A19,CHAR(13),"")&amp;CHAR(10))-1)),FIND(".",(" "&amp;LEFT(SUBSTITUTE(A19,CHAR(13),""),FIND(CHAR(10),SUBSTITUTE(A19,CHAR(13),"")&amp;CHAR(10))-1))))," ","~",LEN(LEFT((" "&amp;LEFT(SUBSTITUTE(A19,CHAR(13),""),FIND(CHAR(10),SUBSTITUTE(A19,CHAR(13),"")&amp;CHAR(10))-1)),FIND(".",(" "&amp;LEFT(SUBSTITUTE(A19,CHAR(13),""),FIND(CHAR(10),SUBSTITUTE(A19,CHAR(13),"")&amp;CHAR(10))-1)))))-LEN(SUBSTITUTE(LEFT((" "&amp;LEFT(SUBSTITUTE(A19,CHAR(13),""),FIND(CHAR(10),SUBSTITUTE(A19,CHAR(13),"")&amp;CHAR(10))-1)),FIND(".",(" "&amp;LEFT(SUBSTITUTE(A19,CHAR(13),""),FIND(CHAR(10),SUBSTITUTE(A19,CHAR(13),"")&amp;CHAR(10))-1))))," ",""))))+1)),""))</f>
        <v/>
      </c>
    </row>
    <row r="20" customFormat="false" ht="30" hidden="false" customHeight="true" outlineLevel="0" collapsed="false">
      <c r="A20" s="11" t="str">
        <f aca="false">IFERROR(INDEX(Pegar!$A$3:$A$1002,MATCH(16,Pegar!$B$3:$B$1002,0))&amp;IF(LEFT(INDEX(Pegar!$A$3:$A$1003,MATCH(16,Pegar!$B$3:$B$1002,0)+1),5)="DESC=",CHAR(10)&amp;INDEX(Pegar!$A$3:$A$1003,MATCH(16,Pegar!$B$3:$B$1002,0)+1),""),"")</f>
        <v/>
      </c>
      <c r="B20" s="12" t="str">
        <f aca="false">IF(TRIM(A20)="","",IFERROR(MID(SUBSTITUTE(SUBSTITUTE(A20,CHAR(10)," "),CHAR(13)," "),FIND(" MT"," "&amp;SUBSTITUTE(SUBSTITUTE(A20,CHAR(10)," "),CHAR(13)," ")),FIND(" ",SUBSTITUTE(SUBSTITUTE(A20,CHAR(10)," "),CHAR(13)," ")&amp;" ",FIND(" MT"," "&amp;SUBSTITUTE(SUBSTITUTE(A20,CHAR(10)," "),CHAR(13)," ")))-FIND(" MT"," "&amp;SUBSTITUTE(SUBSTITUTE(A20,CHAR(10)," "),CHAR(13)," "))),"MT no encontrado"))</f>
        <v/>
      </c>
      <c r="C20" s="15" t="str">
        <f aca="false">IF(TRIM(A20)="","",IF(D20="",FALSE(),SUBSTITUTE(SUBSTITUTE(SUBSTITUTE(D20,".",""),"0",""),"-","")&lt;&gt;""))</f>
        <v/>
      </c>
      <c r="D20" s="14" t="str">
        <f aca="false">IF(TRIM(A20)="","",IFERROR(MID((" "&amp;LEFT(SUBSTITUTE(A20,CHAR(13),""),FIND(CHAR(10),SUBSTITUTE(A20,CHAR(13),"")&amp;CHAR(10))-1)),(FIND("~",SUBSTITUTE(LEFT((" "&amp;LEFT(SUBSTITUTE(A20,CHAR(13),""),FIND(CHAR(10),SUBSTITUTE(A20,CHAR(13),"")&amp;CHAR(10))-1)),FIND(".",(" "&amp;LEFT(SUBSTITUTE(A20,CHAR(13),""),FIND(CHAR(10),SUBSTITUTE(A20,CHAR(13),"")&amp;CHAR(10))-1))))," ","~",LEN(LEFT((" "&amp;LEFT(SUBSTITUTE(A20,CHAR(13),""),FIND(CHAR(10),SUBSTITUTE(A20,CHAR(13),"")&amp;CHAR(10))-1)),FIND(".",(" "&amp;LEFT(SUBSTITUTE(A20,CHAR(13),""),FIND(CHAR(10),SUBSTITUTE(A20,CHAR(13),"")&amp;CHAR(10))-1)))))-LEN(SUBSTITUTE(LEFT((" "&amp;LEFT(SUBSTITUTE(A20,CHAR(13),""),FIND(CHAR(10),SUBSTITUTE(A20,CHAR(13),"")&amp;CHAR(10))-1)),FIND(".",(" "&amp;LEFT(SUBSTITUTE(A20,CHAR(13),""),FIND(CHAR(10),SUBSTITUTE(A20,CHAR(13),"")&amp;CHAR(10))-1))))," ",""))))+1),FIND(" ",(" "&amp;LEFT(SUBSTITUTE(A20,CHAR(13),""),FIND(CHAR(10),SUBSTITUTE(A20,CHAR(13),"")&amp;CHAR(10))-1))&amp;" ",FIND(".",(" "&amp;LEFT(SUBSTITUTE(A20,CHAR(13),""),FIND(CHAR(10),SUBSTITUTE(A20,CHAR(13),"")&amp;CHAR(10))-1))))-(FIND("~",SUBSTITUTE(LEFT((" "&amp;LEFT(SUBSTITUTE(A20,CHAR(13),""),FIND(CHAR(10),SUBSTITUTE(A20,CHAR(13),"")&amp;CHAR(10))-1)),FIND(".",(" "&amp;LEFT(SUBSTITUTE(A20,CHAR(13),""),FIND(CHAR(10),SUBSTITUTE(A20,CHAR(13),"")&amp;CHAR(10))-1))))," ","~",LEN(LEFT((" "&amp;LEFT(SUBSTITUTE(A20,CHAR(13),""),FIND(CHAR(10),SUBSTITUTE(A20,CHAR(13),"")&amp;CHAR(10))-1)),FIND(".",(" "&amp;LEFT(SUBSTITUTE(A20,CHAR(13),""),FIND(CHAR(10),SUBSTITUTE(A20,CHAR(13),"")&amp;CHAR(10))-1)))))-LEN(SUBSTITUTE(LEFT((" "&amp;LEFT(SUBSTITUTE(A20,CHAR(13),""),FIND(CHAR(10),SUBSTITUTE(A20,CHAR(13),"")&amp;CHAR(10))-1)),FIND(".",(" "&amp;LEFT(SUBSTITUTE(A20,CHAR(13),""),FIND(CHAR(10),SUBSTITUTE(A20,CHAR(13),"")&amp;CHAR(10))-1))))," ",""))))+1)),""))</f>
        <v/>
      </c>
    </row>
    <row r="21" customFormat="false" ht="30" hidden="false" customHeight="true" outlineLevel="0" collapsed="false">
      <c r="A21" s="11" t="str">
        <f aca="false">IFERROR(INDEX(Pegar!$A$3:$A$1002,MATCH(17,Pegar!$B$3:$B$1002,0))&amp;IF(LEFT(INDEX(Pegar!$A$3:$A$1003,MATCH(17,Pegar!$B$3:$B$1002,0)+1),5)="DESC=",CHAR(10)&amp;INDEX(Pegar!$A$3:$A$1003,MATCH(17,Pegar!$B$3:$B$1002,0)+1),""),"")</f>
        <v/>
      </c>
      <c r="B21" s="12" t="str">
        <f aca="false">IF(TRIM(A21)="","",IFERROR(MID(SUBSTITUTE(SUBSTITUTE(A21,CHAR(10)," "),CHAR(13)," "),FIND(" MT"," "&amp;SUBSTITUTE(SUBSTITUTE(A21,CHAR(10)," "),CHAR(13)," ")),FIND(" ",SUBSTITUTE(SUBSTITUTE(A21,CHAR(10)," "),CHAR(13)," ")&amp;" ",FIND(" MT"," "&amp;SUBSTITUTE(SUBSTITUTE(A21,CHAR(10)," "),CHAR(13)," ")))-FIND(" MT"," "&amp;SUBSTITUTE(SUBSTITUTE(A21,CHAR(10)," "),CHAR(13)," "))),"MT no encontrado"))</f>
        <v/>
      </c>
      <c r="C21" s="15" t="str">
        <f aca="false">IF(TRIM(A21)="","",IF(D21="",FALSE(),SUBSTITUTE(SUBSTITUTE(SUBSTITUTE(D21,".",""),"0",""),"-","")&lt;&gt;""))</f>
        <v/>
      </c>
      <c r="D21" s="14" t="str">
        <f aca="false">IF(TRIM(A21)="","",IFERROR(MID((" "&amp;LEFT(SUBSTITUTE(A21,CHAR(13),""),FIND(CHAR(10),SUBSTITUTE(A21,CHAR(13),"")&amp;CHAR(10))-1)),(FIND("~",SUBSTITUTE(LEFT((" "&amp;LEFT(SUBSTITUTE(A21,CHAR(13),""),FIND(CHAR(10),SUBSTITUTE(A21,CHAR(13),"")&amp;CHAR(10))-1)),FIND(".",(" "&amp;LEFT(SUBSTITUTE(A21,CHAR(13),""),FIND(CHAR(10),SUBSTITUTE(A21,CHAR(13),"")&amp;CHAR(10))-1))))," ","~",LEN(LEFT((" "&amp;LEFT(SUBSTITUTE(A21,CHAR(13),""),FIND(CHAR(10),SUBSTITUTE(A21,CHAR(13),"")&amp;CHAR(10))-1)),FIND(".",(" "&amp;LEFT(SUBSTITUTE(A21,CHAR(13),""),FIND(CHAR(10),SUBSTITUTE(A21,CHAR(13),"")&amp;CHAR(10))-1)))))-LEN(SUBSTITUTE(LEFT((" "&amp;LEFT(SUBSTITUTE(A21,CHAR(13),""),FIND(CHAR(10),SUBSTITUTE(A21,CHAR(13),"")&amp;CHAR(10))-1)),FIND(".",(" "&amp;LEFT(SUBSTITUTE(A21,CHAR(13),""),FIND(CHAR(10),SUBSTITUTE(A21,CHAR(13),"")&amp;CHAR(10))-1))))," ",""))))+1),FIND(" ",(" "&amp;LEFT(SUBSTITUTE(A21,CHAR(13),""),FIND(CHAR(10),SUBSTITUTE(A21,CHAR(13),"")&amp;CHAR(10))-1))&amp;" ",FIND(".",(" "&amp;LEFT(SUBSTITUTE(A21,CHAR(13),""),FIND(CHAR(10),SUBSTITUTE(A21,CHAR(13),"")&amp;CHAR(10))-1))))-(FIND("~",SUBSTITUTE(LEFT((" "&amp;LEFT(SUBSTITUTE(A21,CHAR(13),""),FIND(CHAR(10),SUBSTITUTE(A21,CHAR(13),"")&amp;CHAR(10))-1)),FIND(".",(" "&amp;LEFT(SUBSTITUTE(A21,CHAR(13),""),FIND(CHAR(10),SUBSTITUTE(A21,CHAR(13),"")&amp;CHAR(10))-1))))," ","~",LEN(LEFT((" "&amp;LEFT(SUBSTITUTE(A21,CHAR(13),""),FIND(CHAR(10),SUBSTITUTE(A21,CHAR(13),"")&amp;CHAR(10))-1)),FIND(".",(" "&amp;LEFT(SUBSTITUTE(A21,CHAR(13),""),FIND(CHAR(10),SUBSTITUTE(A21,CHAR(13),"")&amp;CHAR(10))-1)))))-LEN(SUBSTITUTE(LEFT((" "&amp;LEFT(SUBSTITUTE(A21,CHAR(13),""),FIND(CHAR(10),SUBSTITUTE(A21,CHAR(13),"")&amp;CHAR(10))-1)),FIND(".",(" "&amp;LEFT(SUBSTITUTE(A21,CHAR(13),""),FIND(CHAR(10),SUBSTITUTE(A21,CHAR(13),"")&amp;CHAR(10))-1))))," ",""))))+1)),""))</f>
        <v/>
      </c>
    </row>
    <row r="22" customFormat="false" ht="30" hidden="false" customHeight="true" outlineLevel="0" collapsed="false">
      <c r="A22" s="11" t="str">
        <f aca="false">IFERROR(INDEX(Pegar!$A$3:$A$1002,MATCH(18,Pegar!$B$3:$B$1002,0))&amp;IF(LEFT(INDEX(Pegar!$A$3:$A$1003,MATCH(18,Pegar!$B$3:$B$1002,0)+1),5)="DESC=",CHAR(10)&amp;INDEX(Pegar!$A$3:$A$1003,MATCH(18,Pegar!$B$3:$B$1002,0)+1),""),"")</f>
        <v/>
      </c>
      <c r="B22" s="12" t="str">
        <f aca="false">IF(TRIM(A22)="","",IFERROR(MID(SUBSTITUTE(SUBSTITUTE(A22,CHAR(10)," "),CHAR(13)," "),FIND(" MT"," "&amp;SUBSTITUTE(SUBSTITUTE(A22,CHAR(10)," "),CHAR(13)," ")),FIND(" ",SUBSTITUTE(SUBSTITUTE(A22,CHAR(10)," "),CHAR(13)," ")&amp;" ",FIND(" MT"," "&amp;SUBSTITUTE(SUBSTITUTE(A22,CHAR(10)," "),CHAR(13)," ")))-FIND(" MT"," "&amp;SUBSTITUTE(SUBSTITUTE(A22,CHAR(10)," "),CHAR(13)," "))),"MT no encontrado"))</f>
        <v/>
      </c>
      <c r="C22" s="15" t="str">
        <f aca="false">IF(TRIM(A22)="","",IF(D22="",FALSE(),SUBSTITUTE(SUBSTITUTE(SUBSTITUTE(D22,".",""),"0",""),"-","")&lt;&gt;""))</f>
        <v/>
      </c>
      <c r="D22" s="14" t="str">
        <f aca="false">IF(TRIM(A22)="","",IFERROR(MID((" "&amp;LEFT(SUBSTITUTE(A22,CHAR(13),""),FIND(CHAR(10),SUBSTITUTE(A22,CHAR(13),"")&amp;CHAR(10))-1)),(FIND("~",SUBSTITUTE(LEFT((" "&amp;LEFT(SUBSTITUTE(A22,CHAR(13),""),FIND(CHAR(10),SUBSTITUTE(A22,CHAR(13),"")&amp;CHAR(10))-1)),FIND(".",(" "&amp;LEFT(SUBSTITUTE(A22,CHAR(13),""),FIND(CHAR(10),SUBSTITUTE(A22,CHAR(13),"")&amp;CHAR(10))-1))))," ","~",LEN(LEFT((" "&amp;LEFT(SUBSTITUTE(A22,CHAR(13),""),FIND(CHAR(10),SUBSTITUTE(A22,CHAR(13),"")&amp;CHAR(10))-1)),FIND(".",(" "&amp;LEFT(SUBSTITUTE(A22,CHAR(13),""),FIND(CHAR(10),SUBSTITUTE(A22,CHAR(13),"")&amp;CHAR(10))-1)))))-LEN(SUBSTITUTE(LEFT((" "&amp;LEFT(SUBSTITUTE(A22,CHAR(13),""),FIND(CHAR(10),SUBSTITUTE(A22,CHAR(13),"")&amp;CHAR(10))-1)),FIND(".",(" "&amp;LEFT(SUBSTITUTE(A22,CHAR(13),""),FIND(CHAR(10),SUBSTITUTE(A22,CHAR(13),"")&amp;CHAR(10))-1))))," ",""))))+1),FIND(" ",(" "&amp;LEFT(SUBSTITUTE(A22,CHAR(13),""),FIND(CHAR(10),SUBSTITUTE(A22,CHAR(13),"")&amp;CHAR(10))-1))&amp;" ",FIND(".",(" "&amp;LEFT(SUBSTITUTE(A22,CHAR(13),""),FIND(CHAR(10),SUBSTITUTE(A22,CHAR(13),"")&amp;CHAR(10))-1))))-(FIND("~",SUBSTITUTE(LEFT((" "&amp;LEFT(SUBSTITUTE(A22,CHAR(13),""),FIND(CHAR(10),SUBSTITUTE(A22,CHAR(13),"")&amp;CHAR(10))-1)),FIND(".",(" "&amp;LEFT(SUBSTITUTE(A22,CHAR(13),""),FIND(CHAR(10),SUBSTITUTE(A22,CHAR(13),"")&amp;CHAR(10))-1))))," ","~",LEN(LEFT((" "&amp;LEFT(SUBSTITUTE(A22,CHAR(13),""),FIND(CHAR(10),SUBSTITUTE(A22,CHAR(13),"")&amp;CHAR(10))-1)),FIND(".",(" "&amp;LEFT(SUBSTITUTE(A22,CHAR(13),""),FIND(CHAR(10),SUBSTITUTE(A22,CHAR(13),"")&amp;CHAR(10))-1)))))-LEN(SUBSTITUTE(LEFT((" "&amp;LEFT(SUBSTITUTE(A22,CHAR(13),""),FIND(CHAR(10),SUBSTITUTE(A22,CHAR(13),"")&amp;CHAR(10))-1)),FIND(".",(" "&amp;LEFT(SUBSTITUTE(A22,CHAR(13),""),FIND(CHAR(10),SUBSTITUTE(A22,CHAR(13),"")&amp;CHAR(10))-1))))," ",""))))+1)),""))</f>
        <v/>
      </c>
    </row>
    <row r="23" customFormat="false" ht="30" hidden="false" customHeight="true" outlineLevel="0" collapsed="false">
      <c r="A23" s="11" t="str">
        <f aca="false">IFERROR(INDEX(Pegar!$A$3:$A$1002,MATCH(19,Pegar!$B$3:$B$1002,0))&amp;IF(LEFT(INDEX(Pegar!$A$3:$A$1003,MATCH(19,Pegar!$B$3:$B$1002,0)+1),5)="DESC=",CHAR(10)&amp;INDEX(Pegar!$A$3:$A$1003,MATCH(19,Pegar!$B$3:$B$1002,0)+1),""),"")</f>
        <v/>
      </c>
      <c r="B23" s="12" t="str">
        <f aca="false">IF(TRIM(A23)="","",IFERROR(MID(SUBSTITUTE(SUBSTITUTE(A23,CHAR(10)," "),CHAR(13)," "),FIND(" MT"," "&amp;SUBSTITUTE(SUBSTITUTE(A23,CHAR(10)," "),CHAR(13)," ")),FIND(" ",SUBSTITUTE(SUBSTITUTE(A23,CHAR(10)," "),CHAR(13)," ")&amp;" ",FIND(" MT"," "&amp;SUBSTITUTE(SUBSTITUTE(A23,CHAR(10)," "),CHAR(13)," ")))-FIND(" MT"," "&amp;SUBSTITUTE(SUBSTITUTE(A23,CHAR(10)," "),CHAR(13)," "))),"MT no encontrado"))</f>
        <v/>
      </c>
      <c r="C23" s="15" t="str">
        <f aca="false">IF(TRIM(A23)="","",IF(D23="",FALSE(),SUBSTITUTE(SUBSTITUTE(SUBSTITUTE(D23,".",""),"0",""),"-","")&lt;&gt;""))</f>
        <v/>
      </c>
      <c r="D23" s="14" t="str">
        <f aca="false">IF(TRIM(A23)="","",IFERROR(MID((" "&amp;LEFT(SUBSTITUTE(A23,CHAR(13),""),FIND(CHAR(10),SUBSTITUTE(A23,CHAR(13),"")&amp;CHAR(10))-1)),(FIND("~",SUBSTITUTE(LEFT((" "&amp;LEFT(SUBSTITUTE(A23,CHAR(13),""),FIND(CHAR(10),SUBSTITUTE(A23,CHAR(13),"")&amp;CHAR(10))-1)),FIND(".",(" "&amp;LEFT(SUBSTITUTE(A23,CHAR(13),""),FIND(CHAR(10),SUBSTITUTE(A23,CHAR(13),"")&amp;CHAR(10))-1))))," ","~",LEN(LEFT((" "&amp;LEFT(SUBSTITUTE(A23,CHAR(13),""),FIND(CHAR(10),SUBSTITUTE(A23,CHAR(13),"")&amp;CHAR(10))-1)),FIND(".",(" "&amp;LEFT(SUBSTITUTE(A23,CHAR(13),""),FIND(CHAR(10),SUBSTITUTE(A23,CHAR(13),"")&amp;CHAR(10))-1)))))-LEN(SUBSTITUTE(LEFT((" "&amp;LEFT(SUBSTITUTE(A23,CHAR(13),""),FIND(CHAR(10),SUBSTITUTE(A23,CHAR(13),"")&amp;CHAR(10))-1)),FIND(".",(" "&amp;LEFT(SUBSTITUTE(A23,CHAR(13),""),FIND(CHAR(10),SUBSTITUTE(A23,CHAR(13),"")&amp;CHAR(10))-1))))," ",""))))+1),FIND(" ",(" "&amp;LEFT(SUBSTITUTE(A23,CHAR(13),""),FIND(CHAR(10),SUBSTITUTE(A23,CHAR(13),"")&amp;CHAR(10))-1))&amp;" ",FIND(".",(" "&amp;LEFT(SUBSTITUTE(A23,CHAR(13),""),FIND(CHAR(10),SUBSTITUTE(A23,CHAR(13),"")&amp;CHAR(10))-1))))-(FIND("~",SUBSTITUTE(LEFT((" "&amp;LEFT(SUBSTITUTE(A23,CHAR(13),""),FIND(CHAR(10),SUBSTITUTE(A23,CHAR(13),"")&amp;CHAR(10))-1)),FIND(".",(" "&amp;LEFT(SUBSTITUTE(A23,CHAR(13),""),FIND(CHAR(10),SUBSTITUTE(A23,CHAR(13),"")&amp;CHAR(10))-1))))," ","~",LEN(LEFT((" "&amp;LEFT(SUBSTITUTE(A23,CHAR(13),""),FIND(CHAR(10),SUBSTITUTE(A23,CHAR(13),"")&amp;CHAR(10))-1)),FIND(".",(" "&amp;LEFT(SUBSTITUTE(A23,CHAR(13),""),FIND(CHAR(10),SUBSTITUTE(A23,CHAR(13),"")&amp;CHAR(10))-1)))))-LEN(SUBSTITUTE(LEFT((" "&amp;LEFT(SUBSTITUTE(A23,CHAR(13),""),FIND(CHAR(10),SUBSTITUTE(A23,CHAR(13),"")&amp;CHAR(10))-1)),FIND(".",(" "&amp;LEFT(SUBSTITUTE(A23,CHAR(13),""),FIND(CHAR(10),SUBSTITUTE(A23,CHAR(13),"")&amp;CHAR(10))-1))))," ",""))))+1)),""))</f>
        <v/>
      </c>
    </row>
    <row r="24" customFormat="false" ht="30" hidden="false" customHeight="true" outlineLevel="0" collapsed="false">
      <c r="A24" s="11" t="str">
        <f aca="false">IFERROR(INDEX(Pegar!$A$3:$A$1002,MATCH(20,Pegar!$B$3:$B$1002,0))&amp;IF(LEFT(INDEX(Pegar!$A$3:$A$1003,MATCH(20,Pegar!$B$3:$B$1002,0)+1),5)="DESC=",CHAR(10)&amp;INDEX(Pegar!$A$3:$A$1003,MATCH(20,Pegar!$B$3:$B$1002,0)+1),""),"")</f>
        <v/>
      </c>
      <c r="B24" s="12" t="str">
        <f aca="false">IF(TRIM(A24)="","",IFERROR(MID(SUBSTITUTE(SUBSTITUTE(A24,CHAR(10)," "),CHAR(13)," "),FIND(" MT"," "&amp;SUBSTITUTE(SUBSTITUTE(A24,CHAR(10)," "),CHAR(13)," ")),FIND(" ",SUBSTITUTE(SUBSTITUTE(A24,CHAR(10)," "),CHAR(13)," ")&amp;" ",FIND(" MT"," "&amp;SUBSTITUTE(SUBSTITUTE(A24,CHAR(10)," "),CHAR(13)," ")))-FIND(" MT"," "&amp;SUBSTITUTE(SUBSTITUTE(A24,CHAR(10)," "),CHAR(13)," "))),"MT no encontrado"))</f>
        <v/>
      </c>
      <c r="C24" s="15" t="str">
        <f aca="false">IF(TRIM(A24)="","",IF(D24="",FALSE(),SUBSTITUTE(SUBSTITUTE(SUBSTITUTE(D24,".",""),"0",""),"-","")&lt;&gt;""))</f>
        <v/>
      </c>
      <c r="D24" s="14" t="str">
        <f aca="false">IF(TRIM(A24)="","",IFERROR(MID((" "&amp;LEFT(SUBSTITUTE(A24,CHAR(13),""),FIND(CHAR(10),SUBSTITUTE(A24,CHAR(13),"")&amp;CHAR(10))-1)),(FIND("~",SUBSTITUTE(LEFT((" "&amp;LEFT(SUBSTITUTE(A24,CHAR(13),""),FIND(CHAR(10),SUBSTITUTE(A24,CHAR(13),"")&amp;CHAR(10))-1)),FIND(".",(" "&amp;LEFT(SUBSTITUTE(A24,CHAR(13),""),FIND(CHAR(10),SUBSTITUTE(A24,CHAR(13),"")&amp;CHAR(10))-1))))," ","~",LEN(LEFT((" "&amp;LEFT(SUBSTITUTE(A24,CHAR(13),""),FIND(CHAR(10),SUBSTITUTE(A24,CHAR(13),"")&amp;CHAR(10))-1)),FIND(".",(" "&amp;LEFT(SUBSTITUTE(A24,CHAR(13),""),FIND(CHAR(10),SUBSTITUTE(A24,CHAR(13),"")&amp;CHAR(10))-1)))))-LEN(SUBSTITUTE(LEFT((" "&amp;LEFT(SUBSTITUTE(A24,CHAR(13),""),FIND(CHAR(10),SUBSTITUTE(A24,CHAR(13),"")&amp;CHAR(10))-1)),FIND(".",(" "&amp;LEFT(SUBSTITUTE(A24,CHAR(13),""),FIND(CHAR(10),SUBSTITUTE(A24,CHAR(13),"")&amp;CHAR(10))-1))))," ",""))))+1),FIND(" ",(" "&amp;LEFT(SUBSTITUTE(A24,CHAR(13),""),FIND(CHAR(10),SUBSTITUTE(A24,CHAR(13),"")&amp;CHAR(10))-1))&amp;" ",FIND(".",(" "&amp;LEFT(SUBSTITUTE(A24,CHAR(13),""),FIND(CHAR(10),SUBSTITUTE(A24,CHAR(13),"")&amp;CHAR(10))-1))))-(FIND("~",SUBSTITUTE(LEFT((" "&amp;LEFT(SUBSTITUTE(A24,CHAR(13),""),FIND(CHAR(10),SUBSTITUTE(A24,CHAR(13),"")&amp;CHAR(10))-1)),FIND(".",(" "&amp;LEFT(SUBSTITUTE(A24,CHAR(13),""),FIND(CHAR(10),SUBSTITUTE(A24,CHAR(13),"")&amp;CHAR(10))-1))))," ","~",LEN(LEFT((" "&amp;LEFT(SUBSTITUTE(A24,CHAR(13),""),FIND(CHAR(10),SUBSTITUTE(A24,CHAR(13),"")&amp;CHAR(10))-1)),FIND(".",(" "&amp;LEFT(SUBSTITUTE(A24,CHAR(13),""),FIND(CHAR(10),SUBSTITUTE(A24,CHAR(13),"")&amp;CHAR(10))-1)))))-LEN(SUBSTITUTE(LEFT((" "&amp;LEFT(SUBSTITUTE(A24,CHAR(13),""),FIND(CHAR(10),SUBSTITUTE(A24,CHAR(13),"")&amp;CHAR(10))-1)),FIND(".",(" "&amp;LEFT(SUBSTITUTE(A24,CHAR(13),""),FIND(CHAR(10),SUBSTITUTE(A24,CHAR(13),"")&amp;CHAR(10))-1))))," ",""))))+1)),""))</f>
        <v/>
      </c>
    </row>
    <row r="25" customFormat="false" ht="30" hidden="false" customHeight="true" outlineLevel="0" collapsed="false">
      <c r="A25" s="11" t="str">
        <f aca="false">IFERROR(INDEX(Pegar!$A$3:$A$1002,MATCH(21,Pegar!$B$3:$B$1002,0))&amp;IF(LEFT(INDEX(Pegar!$A$3:$A$1003,MATCH(21,Pegar!$B$3:$B$1002,0)+1),5)="DESC=",CHAR(10)&amp;INDEX(Pegar!$A$3:$A$1003,MATCH(21,Pegar!$B$3:$B$1002,0)+1),""),"")</f>
        <v/>
      </c>
      <c r="B25" s="12" t="str">
        <f aca="false">IF(TRIM(A25)="","",IFERROR(MID(SUBSTITUTE(SUBSTITUTE(A25,CHAR(10)," "),CHAR(13)," "),FIND(" MT"," "&amp;SUBSTITUTE(SUBSTITUTE(A25,CHAR(10)," "),CHAR(13)," ")),FIND(" ",SUBSTITUTE(SUBSTITUTE(A25,CHAR(10)," "),CHAR(13)," ")&amp;" ",FIND(" MT"," "&amp;SUBSTITUTE(SUBSTITUTE(A25,CHAR(10)," "),CHAR(13)," ")))-FIND(" MT"," "&amp;SUBSTITUTE(SUBSTITUTE(A25,CHAR(10)," "),CHAR(13)," "))),"MT no encontrado"))</f>
        <v/>
      </c>
      <c r="C25" s="15" t="str">
        <f aca="false">IF(TRIM(A25)="","",IF(D25="",FALSE(),SUBSTITUTE(SUBSTITUTE(SUBSTITUTE(D25,".",""),"0",""),"-","")&lt;&gt;""))</f>
        <v/>
      </c>
      <c r="D25" s="14" t="str">
        <f aca="false">IF(TRIM(A25)="","",IFERROR(MID((" "&amp;LEFT(SUBSTITUTE(A25,CHAR(13),""),FIND(CHAR(10),SUBSTITUTE(A25,CHAR(13),"")&amp;CHAR(10))-1)),(FIND("~",SUBSTITUTE(LEFT((" "&amp;LEFT(SUBSTITUTE(A25,CHAR(13),""),FIND(CHAR(10),SUBSTITUTE(A25,CHAR(13),"")&amp;CHAR(10))-1)),FIND(".",(" "&amp;LEFT(SUBSTITUTE(A25,CHAR(13),""),FIND(CHAR(10),SUBSTITUTE(A25,CHAR(13),"")&amp;CHAR(10))-1))))," ","~",LEN(LEFT((" "&amp;LEFT(SUBSTITUTE(A25,CHAR(13),""),FIND(CHAR(10),SUBSTITUTE(A25,CHAR(13),"")&amp;CHAR(10))-1)),FIND(".",(" "&amp;LEFT(SUBSTITUTE(A25,CHAR(13),""),FIND(CHAR(10),SUBSTITUTE(A25,CHAR(13),"")&amp;CHAR(10))-1)))))-LEN(SUBSTITUTE(LEFT((" "&amp;LEFT(SUBSTITUTE(A25,CHAR(13),""),FIND(CHAR(10),SUBSTITUTE(A25,CHAR(13),"")&amp;CHAR(10))-1)),FIND(".",(" "&amp;LEFT(SUBSTITUTE(A25,CHAR(13),""),FIND(CHAR(10),SUBSTITUTE(A25,CHAR(13),"")&amp;CHAR(10))-1))))," ",""))))+1),FIND(" ",(" "&amp;LEFT(SUBSTITUTE(A25,CHAR(13),""),FIND(CHAR(10),SUBSTITUTE(A25,CHAR(13),"")&amp;CHAR(10))-1))&amp;" ",FIND(".",(" "&amp;LEFT(SUBSTITUTE(A25,CHAR(13),""),FIND(CHAR(10),SUBSTITUTE(A25,CHAR(13),"")&amp;CHAR(10))-1))))-(FIND("~",SUBSTITUTE(LEFT((" "&amp;LEFT(SUBSTITUTE(A25,CHAR(13),""),FIND(CHAR(10),SUBSTITUTE(A25,CHAR(13),"")&amp;CHAR(10))-1)),FIND(".",(" "&amp;LEFT(SUBSTITUTE(A25,CHAR(13),""),FIND(CHAR(10),SUBSTITUTE(A25,CHAR(13),"")&amp;CHAR(10))-1))))," ","~",LEN(LEFT((" "&amp;LEFT(SUBSTITUTE(A25,CHAR(13),""),FIND(CHAR(10),SUBSTITUTE(A25,CHAR(13),"")&amp;CHAR(10))-1)),FIND(".",(" "&amp;LEFT(SUBSTITUTE(A25,CHAR(13),""),FIND(CHAR(10),SUBSTITUTE(A25,CHAR(13),"")&amp;CHAR(10))-1)))))-LEN(SUBSTITUTE(LEFT((" "&amp;LEFT(SUBSTITUTE(A25,CHAR(13),""),FIND(CHAR(10),SUBSTITUTE(A25,CHAR(13),"")&amp;CHAR(10))-1)),FIND(".",(" "&amp;LEFT(SUBSTITUTE(A25,CHAR(13),""),FIND(CHAR(10),SUBSTITUTE(A25,CHAR(13),"")&amp;CHAR(10))-1))))," ",""))))+1)),""))</f>
        <v/>
      </c>
    </row>
    <row r="26" customFormat="false" ht="30" hidden="false" customHeight="true" outlineLevel="0" collapsed="false">
      <c r="A26" s="11" t="str">
        <f aca="false">IFERROR(INDEX(Pegar!$A$3:$A$1002,MATCH(22,Pegar!$B$3:$B$1002,0))&amp;IF(LEFT(INDEX(Pegar!$A$3:$A$1003,MATCH(22,Pegar!$B$3:$B$1002,0)+1),5)="DESC=",CHAR(10)&amp;INDEX(Pegar!$A$3:$A$1003,MATCH(22,Pegar!$B$3:$B$1002,0)+1),""),"")</f>
        <v/>
      </c>
      <c r="B26" s="12" t="str">
        <f aca="false">IF(TRIM(A26)="","",IFERROR(MID(SUBSTITUTE(SUBSTITUTE(A26,CHAR(10)," "),CHAR(13)," "),FIND(" MT"," "&amp;SUBSTITUTE(SUBSTITUTE(A26,CHAR(10)," "),CHAR(13)," ")),FIND(" ",SUBSTITUTE(SUBSTITUTE(A26,CHAR(10)," "),CHAR(13)," ")&amp;" ",FIND(" MT"," "&amp;SUBSTITUTE(SUBSTITUTE(A26,CHAR(10)," "),CHAR(13)," ")))-FIND(" MT"," "&amp;SUBSTITUTE(SUBSTITUTE(A26,CHAR(10)," "),CHAR(13)," "))),"MT no encontrado"))</f>
        <v/>
      </c>
      <c r="C26" s="15" t="str">
        <f aca="false">IF(TRIM(A26)="","",IF(D26="",FALSE(),SUBSTITUTE(SUBSTITUTE(SUBSTITUTE(D26,".",""),"0",""),"-","")&lt;&gt;""))</f>
        <v/>
      </c>
      <c r="D26" s="14" t="str">
        <f aca="false">IF(TRIM(A26)="","",IFERROR(MID((" "&amp;LEFT(SUBSTITUTE(A26,CHAR(13),""),FIND(CHAR(10),SUBSTITUTE(A26,CHAR(13),"")&amp;CHAR(10))-1)),(FIND("~",SUBSTITUTE(LEFT((" "&amp;LEFT(SUBSTITUTE(A26,CHAR(13),""),FIND(CHAR(10),SUBSTITUTE(A26,CHAR(13),"")&amp;CHAR(10))-1)),FIND(".",(" "&amp;LEFT(SUBSTITUTE(A26,CHAR(13),""),FIND(CHAR(10),SUBSTITUTE(A26,CHAR(13),"")&amp;CHAR(10))-1))))," ","~",LEN(LEFT((" "&amp;LEFT(SUBSTITUTE(A26,CHAR(13),""),FIND(CHAR(10),SUBSTITUTE(A26,CHAR(13),"")&amp;CHAR(10))-1)),FIND(".",(" "&amp;LEFT(SUBSTITUTE(A26,CHAR(13),""),FIND(CHAR(10),SUBSTITUTE(A26,CHAR(13),"")&amp;CHAR(10))-1)))))-LEN(SUBSTITUTE(LEFT((" "&amp;LEFT(SUBSTITUTE(A26,CHAR(13),""),FIND(CHAR(10),SUBSTITUTE(A26,CHAR(13),"")&amp;CHAR(10))-1)),FIND(".",(" "&amp;LEFT(SUBSTITUTE(A26,CHAR(13),""),FIND(CHAR(10),SUBSTITUTE(A26,CHAR(13),"")&amp;CHAR(10))-1))))," ",""))))+1),FIND(" ",(" "&amp;LEFT(SUBSTITUTE(A26,CHAR(13),""),FIND(CHAR(10),SUBSTITUTE(A26,CHAR(13),"")&amp;CHAR(10))-1))&amp;" ",FIND(".",(" "&amp;LEFT(SUBSTITUTE(A26,CHAR(13),""),FIND(CHAR(10),SUBSTITUTE(A26,CHAR(13),"")&amp;CHAR(10))-1))))-(FIND("~",SUBSTITUTE(LEFT((" "&amp;LEFT(SUBSTITUTE(A26,CHAR(13),""),FIND(CHAR(10),SUBSTITUTE(A26,CHAR(13),"")&amp;CHAR(10))-1)),FIND(".",(" "&amp;LEFT(SUBSTITUTE(A26,CHAR(13),""),FIND(CHAR(10),SUBSTITUTE(A26,CHAR(13),"")&amp;CHAR(10))-1))))," ","~",LEN(LEFT((" "&amp;LEFT(SUBSTITUTE(A26,CHAR(13),""),FIND(CHAR(10),SUBSTITUTE(A26,CHAR(13),"")&amp;CHAR(10))-1)),FIND(".",(" "&amp;LEFT(SUBSTITUTE(A26,CHAR(13),""),FIND(CHAR(10),SUBSTITUTE(A26,CHAR(13),"")&amp;CHAR(10))-1)))))-LEN(SUBSTITUTE(LEFT((" "&amp;LEFT(SUBSTITUTE(A26,CHAR(13),""),FIND(CHAR(10),SUBSTITUTE(A26,CHAR(13),"")&amp;CHAR(10))-1)),FIND(".",(" "&amp;LEFT(SUBSTITUTE(A26,CHAR(13),""),FIND(CHAR(10),SUBSTITUTE(A26,CHAR(13),"")&amp;CHAR(10))-1))))," ",""))))+1)),""))</f>
        <v/>
      </c>
    </row>
    <row r="27" customFormat="false" ht="30" hidden="false" customHeight="true" outlineLevel="0" collapsed="false">
      <c r="A27" s="11" t="str">
        <f aca="false">IFERROR(INDEX(Pegar!$A$3:$A$1002,MATCH(23,Pegar!$B$3:$B$1002,0))&amp;IF(LEFT(INDEX(Pegar!$A$3:$A$1003,MATCH(23,Pegar!$B$3:$B$1002,0)+1),5)="DESC=",CHAR(10)&amp;INDEX(Pegar!$A$3:$A$1003,MATCH(23,Pegar!$B$3:$B$1002,0)+1),""),"")</f>
        <v/>
      </c>
      <c r="B27" s="12" t="str">
        <f aca="false">IF(TRIM(A27)="","",IFERROR(MID(SUBSTITUTE(SUBSTITUTE(A27,CHAR(10)," "),CHAR(13)," "),FIND(" MT"," "&amp;SUBSTITUTE(SUBSTITUTE(A27,CHAR(10)," "),CHAR(13)," ")),FIND(" ",SUBSTITUTE(SUBSTITUTE(A27,CHAR(10)," "),CHAR(13)," ")&amp;" ",FIND(" MT"," "&amp;SUBSTITUTE(SUBSTITUTE(A27,CHAR(10)," "),CHAR(13)," ")))-FIND(" MT"," "&amp;SUBSTITUTE(SUBSTITUTE(A27,CHAR(10)," "),CHAR(13)," "))),"MT no encontrado"))</f>
        <v/>
      </c>
      <c r="C27" s="15" t="str">
        <f aca="false">IF(TRIM(A27)="","",IF(D27="",FALSE(),SUBSTITUTE(SUBSTITUTE(SUBSTITUTE(D27,".",""),"0",""),"-","")&lt;&gt;""))</f>
        <v/>
      </c>
      <c r="D27" s="14" t="str">
        <f aca="false">IF(TRIM(A27)="","",IFERROR(MID((" "&amp;LEFT(SUBSTITUTE(A27,CHAR(13),""),FIND(CHAR(10),SUBSTITUTE(A27,CHAR(13),"")&amp;CHAR(10))-1)),(FIND("~",SUBSTITUTE(LEFT((" "&amp;LEFT(SUBSTITUTE(A27,CHAR(13),""),FIND(CHAR(10),SUBSTITUTE(A27,CHAR(13),"")&amp;CHAR(10))-1)),FIND(".",(" "&amp;LEFT(SUBSTITUTE(A27,CHAR(13),""),FIND(CHAR(10),SUBSTITUTE(A27,CHAR(13),"")&amp;CHAR(10))-1))))," ","~",LEN(LEFT((" "&amp;LEFT(SUBSTITUTE(A27,CHAR(13),""),FIND(CHAR(10),SUBSTITUTE(A27,CHAR(13),"")&amp;CHAR(10))-1)),FIND(".",(" "&amp;LEFT(SUBSTITUTE(A27,CHAR(13),""),FIND(CHAR(10),SUBSTITUTE(A27,CHAR(13),"")&amp;CHAR(10))-1)))))-LEN(SUBSTITUTE(LEFT((" "&amp;LEFT(SUBSTITUTE(A27,CHAR(13),""),FIND(CHAR(10),SUBSTITUTE(A27,CHAR(13),"")&amp;CHAR(10))-1)),FIND(".",(" "&amp;LEFT(SUBSTITUTE(A27,CHAR(13),""),FIND(CHAR(10),SUBSTITUTE(A27,CHAR(13),"")&amp;CHAR(10))-1))))," ",""))))+1),FIND(" ",(" "&amp;LEFT(SUBSTITUTE(A27,CHAR(13),""),FIND(CHAR(10),SUBSTITUTE(A27,CHAR(13),"")&amp;CHAR(10))-1))&amp;" ",FIND(".",(" "&amp;LEFT(SUBSTITUTE(A27,CHAR(13),""),FIND(CHAR(10),SUBSTITUTE(A27,CHAR(13),"")&amp;CHAR(10))-1))))-(FIND("~",SUBSTITUTE(LEFT((" "&amp;LEFT(SUBSTITUTE(A27,CHAR(13),""),FIND(CHAR(10),SUBSTITUTE(A27,CHAR(13),"")&amp;CHAR(10))-1)),FIND(".",(" "&amp;LEFT(SUBSTITUTE(A27,CHAR(13),""),FIND(CHAR(10),SUBSTITUTE(A27,CHAR(13),"")&amp;CHAR(10))-1))))," ","~",LEN(LEFT((" "&amp;LEFT(SUBSTITUTE(A27,CHAR(13),""),FIND(CHAR(10),SUBSTITUTE(A27,CHAR(13),"")&amp;CHAR(10))-1)),FIND(".",(" "&amp;LEFT(SUBSTITUTE(A27,CHAR(13),""),FIND(CHAR(10),SUBSTITUTE(A27,CHAR(13),"")&amp;CHAR(10))-1)))))-LEN(SUBSTITUTE(LEFT((" "&amp;LEFT(SUBSTITUTE(A27,CHAR(13),""),FIND(CHAR(10),SUBSTITUTE(A27,CHAR(13),"")&amp;CHAR(10))-1)),FIND(".",(" "&amp;LEFT(SUBSTITUTE(A27,CHAR(13),""),FIND(CHAR(10),SUBSTITUTE(A27,CHAR(13),"")&amp;CHAR(10))-1))))," ",""))))+1)),""))</f>
        <v/>
      </c>
    </row>
    <row r="28" customFormat="false" ht="30" hidden="false" customHeight="true" outlineLevel="0" collapsed="false">
      <c r="A28" s="11" t="str">
        <f aca="false">IFERROR(INDEX(Pegar!$A$3:$A$1002,MATCH(24,Pegar!$B$3:$B$1002,0))&amp;IF(LEFT(INDEX(Pegar!$A$3:$A$1003,MATCH(24,Pegar!$B$3:$B$1002,0)+1),5)="DESC=",CHAR(10)&amp;INDEX(Pegar!$A$3:$A$1003,MATCH(24,Pegar!$B$3:$B$1002,0)+1),""),"")</f>
        <v/>
      </c>
      <c r="B28" s="12" t="str">
        <f aca="false">IF(TRIM(A28)="","",IFERROR(MID(SUBSTITUTE(SUBSTITUTE(A28,CHAR(10)," "),CHAR(13)," "),FIND(" MT"," "&amp;SUBSTITUTE(SUBSTITUTE(A28,CHAR(10)," "),CHAR(13)," ")),FIND(" ",SUBSTITUTE(SUBSTITUTE(A28,CHAR(10)," "),CHAR(13)," ")&amp;" ",FIND(" MT"," "&amp;SUBSTITUTE(SUBSTITUTE(A28,CHAR(10)," "),CHAR(13)," ")))-FIND(" MT"," "&amp;SUBSTITUTE(SUBSTITUTE(A28,CHAR(10)," "),CHAR(13)," "))),"MT no encontrado"))</f>
        <v/>
      </c>
      <c r="C28" s="15" t="str">
        <f aca="false">IF(TRIM(A28)="","",IF(D28="",FALSE(),SUBSTITUTE(SUBSTITUTE(SUBSTITUTE(D28,".",""),"0",""),"-","")&lt;&gt;""))</f>
        <v/>
      </c>
      <c r="D28" s="14" t="str">
        <f aca="false">IF(TRIM(A28)="","",IFERROR(MID((" "&amp;LEFT(SUBSTITUTE(A28,CHAR(13),""),FIND(CHAR(10),SUBSTITUTE(A28,CHAR(13),"")&amp;CHAR(10))-1)),(FIND("~",SUBSTITUTE(LEFT((" "&amp;LEFT(SUBSTITUTE(A28,CHAR(13),""),FIND(CHAR(10),SUBSTITUTE(A28,CHAR(13),"")&amp;CHAR(10))-1)),FIND(".",(" "&amp;LEFT(SUBSTITUTE(A28,CHAR(13),""),FIND(CHAR(10),SUBSTITUTE(A28,CHAR(13),"")&amp;CHAR(10))-1))))," ","~",LEN(LEFT((" "&amp;LEFT(SUBSTITUTE(A28,CHAR(13),""),FIND(CHAR(10),SUBSTITUTE(A28,CHAR(13),"")&amp;CHAR(10))-1)),FIND(".",(" "&amp;LEFT(SUBSTITUTE(A28,CHAR(13),""),FIND(CHAR(10),SUBSTITUTE(A28,CHAR(13),"")&amp;CHAR(10))-1)))))-LEN(SUBSTITUTE(LEFT((" "&amp;LEFT(SUBSTITUTE(A28,CHAR(13),""),FIND(CHAR(10),SUBSTITUTE(A28,CHAR(13),"")&amp;CHAR(10))-1)),FIND(".",(" "&amp;LEFT(SUBSTITUTE(A28,CHAR(13),""),FIND(CHAR(10),SUBSTITUTE(A28,CHAR(13),"")&amp;CHAR(10))-1))))," ",""))))+1),FIND(" ",(" "&amp;LEFT(SUBSTITUTE(A28,CHAR(13),""),FIND(CHAR(10),SUBSTITUTE(A28,CHAR(13),"")&amp;CHAR(10))-1))&amp;" ",FIND(".",(" "&amp;LEFT(SUBSTITUTE(A28,CHAR(13),""),FIND(CHAR(10),SUBSTITUTE(A28,CHAR(13),"")&amp;CHAR(10))-1))))-(FIND("~",SUBSTITUTE(LEFT((" "&amp;LEFT(SUBSTITUTE(A28,CHAR(13),""),FIND(CHAR(10),SUBSTITUTE(A28,CHAR(13),"")&amp;CHAR(10))-1)),FIND(".",(" "&amp;LEFT(SUBSTITUTE(A28,CHAR(13),""),FIND(CHAR(10),SUBSTITUTE(A28,CHAR(13),"")&amp;CHAR(10))-1))))," ","~",LEN(LEFT((" "&amp;LEFT(SUBSTITUTE(A28,CHAR(13),""),FIND(CHAR(10),SUBSTITUTE(A28,CHAR(13),"")&amp;CHAR(10))-1)),FIND(".",(" "&amp;LEFT(SUBSTITUTE(A28,CHAR(13),""),FIND(CHAR(10),SUBSTITUTE(A28,CHAR(13),"")&amp;CHAR(10))-1)))))-LEN(SUBSTITUTE(LEFT((" "&amp;LEFT(SUBSTITUTE(A28,CHAR(13),""),FIND(CHAR(10),SUBSTITUTE(A28,CHAR(13),"")&amp;CHAR(10))-1)),FIND(".",(" "&amp;LEFT(SUBSTITUTE(A28,CHAR(13),""),FIND(CHAR(10),SUBSTITUTE(A28,CHAR(13),"")&amp;CHAR(10))-1))))," ",""))))+1)),""))</f>
        <v/>
      </c>
    </row>
    <row r="29" customFormat="false" ht="30" hidden="false" customHeight="true" outlineLevel="0" collapsed="false">
      <c r="A29" s="11" t="str">
        <f aca="false">IFERROR(INDEX(Pegar!$A$3:$A$1002,MATCH(25,Pegar!$B$3:$B$1002,0))&amp;IF(LEFT(INDEX(Pegar!$A$3:$A$1003,MATCH(25,Pegar!$B$3:$B$1002,0)+1),5)="DESC=",CHAR(10)&amp;INDEX(Pegar!$A$3:$A$1003,MATCH(25,Pegar!$B$3:$B$1002,0)+1),""),"")</f>
        <v/>
      </c>
      <c r="B29" s="12" t="str">
        <f aca="false">IF(TRIM(A29)="","",IFERROR(MID(SUBSTITUTE(SUBSTITUTE(A29,CHAR(10)," "),CHAR(13)," "),FIND(" MT"," "&amp;SUBSTITUTE(SUBSTITUTE(A29,CHAR(10)," "),CHAR(13)," ")),FIND(" ",SUBSTITUTE(SUBSTITUTE(A29,CHAR(10)," "),CHAR(13)," ")&amp;" ",FIND(" MT"," "&amp;SUBSTITUTE(SUBSTITUTE(A29,CHAR(10)," "),CHAR(13)," ")))-FIND(" MT"," "&amp;SUBSTITUTE(SUBSTITUTE(A29,CHAR(10)," "),CHAR(13)," "))),"MT no encontrado"))</f>
        <v/>
      </c>
      <c r="C29" s="15" t="str">
        <f aca="false">IF(TRIM(A29)="","",IF(D29="",FALSE(),SUBSTITUTE(SUBSTITUTE(SUBSTITUTE(D29,".",""),"0",""),"-","")&lt;&gt;""))</f>
        <v/>
      </c>
      <c r="D29" s="14" t="str">
        <f aca="false">IF(TRIM(A29)="","",IFERROR(MID((" "&amp;LEFT(SUBSTITUTE(A29,CHAR(13),""),FIND(CHAR(10),SUBSTITUTE(A29,CHAR(13),"")&amp;CHAR(10))-1)),(FIND("~",SUBSTITUTE(LEFT((" "&amp;LEFT(SUBSTITUTE(A29,CHAR(13),""),FIND(CHAR(10),SUBSTITUTE(A29,CHAR(13),"")&amp;CHAR(10))-1)),FIND(".",(" "&amp;LEFT(SUBSTITUTE(A29,CHAR(13),""),FIND(CHAR(10),SUBSTITUTE(A29,CHAR(13),"")&amp;CHAR(10))-1))))," ","~",LEN(LEFT((" "&amp;LEFT(SUBSTITUTE(A29,CHAR(13),""),FIND(CHAR(10),SUBSTITUTE(A29,CHAR(13),"")&amp;CHAR(10))-1)),FIND(".",(" "&amp;LEFT(SUBSTITUTE(A29,CHAR(13),""),FIND(CHAR(10),SUBSTITUTE(A29,CHAR(13),"")&amp;CHAR(10))-1)))))-LEN(SUBSTITUTE(LEFT((" "&amp;LEFT(SUBSTITUTE(A29,CHAR(13),""),FIND(CHAR(10),SUBSTITUTE(A29,CHAR(13),"")&amp;CHAR(10))-1)),FIND(".",(" "&amp;LEFT(SUBSTITUTE(A29,CHAR(13),""),FIND(CHAR(10),SUBSTITUTE(A29,CHAR(13),"")&amp;CHAR(10))-1))))," ",""))))+1),FIND(" ",(" "&amp;LEFT(SUBSTITUTE(A29,CHAR(13),""),FIND(CHAR(10),SUBSTITUTE(A29,CHAR(13),"")&amp;CHAR(10))-1))&amp;" ",FIND(".",(" "&amp;LEFT(SUBSTITUTE(A29,CHAR(13),""),FIND(CHAR(10),SUBSTITUTE(A29,CHAR(13),"")&amp;CHAR(10))-1))))-(FIND("~",SUBSTITUTE(LEFT((" "&amp;LEFT(SUBSTITUTE(A29,CHAR(13),""),FIND(CHAR(10),SUBSTITUTE(A29,CHAR(13),"")&amp;CHAR(10))-1)),FIND(".",(" "&amp;LEFT(SUBSTITUTE(A29,CHAR(13),""),FIND(CHAR(10),SUBSTITUTE(A29,CHAR(13),"")&amp;CHAR(10))-1))))," ","~",LEN(LEFT((" "&amp;LEFT(SUBSTITUTE(A29,CHAR(13),""),FIND(CHAR(10),SUBSTITUTE(A29,CHAR(13),"")&amp;CHAR(10))-1)),FIND(".",(" "&amp;LEFT(SUBSTITUTE(A29,CHAR(13),""),FIND(CHAR(10),SUBSTITUTE(A29,CHAR(13),"")&amp;CHAR(10))-1)))))-LEN(SUBSTITUTE(LEFT((" "&amp;LEFT(SUBSTITUTE(A29,CHAR(13),""),FIND(CHAR(10),SUBSTITUTE(A29,CHAR(13),"")&amp;CHAR(10))-1)),FIND(".",(" "&amp;LEFT(SUBSTITUTE(A29,CHAR(13),""),FIND(CHAR(10),SUBSTITUTE(A29,CHAR(13),"")&amp;CHAR(10))-1))))," ",""))))+1)),""))</f>
        <v/>
      </c>
    </row>
    <row r="30" customFormat="false" ht="30" hidden="false" customHeight="true" outlineLevel="0" collapsed="false">
      <c r="A30" s="11" t="str">
        <f aca="false">IFERROR(INDEX(Pegar!$A$3:$A$1002,MATCH(26,Pegar!$B$3:$B$1002,0))&amp;IF(LEFT(INDEX(Pegar!$A$3:$A$1003,MATCH(26,Pegar!$B$3:$B$1002,0)+1),5)="DESC=",CHAR(10)&amp;INDEX(Pegar!$A$3:$A$1003,MATCH(26,Pegar!$B$3:$B$1002,0)+1),""),"")</f>
        <v/>
      </c>
      <c r="B30" s="12" t="str">
        <f aca="false">IF(TRIM(A30)="","",IFERROR(MID(SUBSTITUTE(SUBSTITUTE(A30,CHAR(10)," "),CHAR(13)," "),FIND(" MT"," "&amp;SUBSTITUTE(SUBSTITUTE(A30,CHAR(10)," "),CHAR(13)," ")),FIND(" ",SUBSTITUTE(SUBSTITUTE(A30,CHAR(10)," "),CHAR(13)," ")&amp;" ",FIND(" MT"," "&amp;SUBSTITUTE(SUBSTITUTE(A30,CHAR(10)," "),CHAR(13)," ")))-FIND(" MT"," "&amp;SUBSTITUTE(SUBSTITUTE(A30,CHAR(10)," "),CHAR(13)," "))),"MT no encontrado"))</f>
        <v/>
      </c>
      <c r="C30" s="15" t="str">
        <f aca="false">IF(TRIM(A30)="","",IF(D30="",FALSE(),SUBSTITUTE(SUBSTITUTE(SUBSTITUTE(D30,".",""),"0",""),"-","")&lt;&gt;""))</f>
        <v/>
      </c>
      <c r="D30" s="14" t="str">
        <f aca="false">IF(TRIM(A30)="","",IFERROR(MID((" "&amp;LEFT(SUBSTITUTE(A30,CHAR(13),""),FIND(CHAR(10),SUBSTITUTE(A30,CHAR(13),"")&amp;CHAR(10))-1)),(FIND("~",SUBSTITUTE(LEFT((" "&amp;LEFT(SUBSTITUTE(A30,CHAR(13),""),FIND(CHAR(10),SUBSTITUTE(A30,CHAR(13),"")&amp;CHAR(10))-1)),FIND(".",(" "&amp;LEFT(SUBSTITUTE(A30,CHAR(13),""),FIND(CHAR(10),SUBSTITUTE(A30,CHAR(13),"")&amp;CHAR(10))-1))))," ","~",LEN(LEFT((" "&amp;LEFT(SUBSTITUTE(A30,CHAR(13),""),FIND(CHAR(10),SUBSTITUTE(A30,CHAR(13),"")&amp;CHAR(10))-1)),FIND(".",(" "&amp;LEFT(SUBSTITUTE(A30,CHAR(13),""),FIND(CHAR(10),SUBSTITUTE(A30,CHAR(13),"")&amp;CHAR(10))-1)))))-LEN(SUBSTITUTE(LEFT((" "&amp;LEFT(SUBSTITUTE(A30,CHAR(13),""),FIND(CHAR(10),SUBSTITUTE(A30,CHAR(13),"")&amp;CHAR(10))-1)),FIND(".",(" "&amp;LEFT(SUBSTITUTE(A30,CHAR(13),""),FIND(CHAR(10),SUBSTITUTE(A30,CHAR(13),"")&amp;CHAR(10))-1))))," ",""))))+1),FIND(" ",(" "&amp;LEFT(SUBSTITUTE(A30,CHAR(13),""),FIND(CHAR(10),SUBSTITUTE(A30,CHAR(13),"")&amp;CHAR(10))-1))&amp;" ",FIND(".",(" "&amp;LEFT(SUBSTITUTE(A30,CHAR(13),""),FIND(CHAR(10),SUBSTITUTE(A30,CHAR(13),"")&amp;CHAR(10))-1))))-(FIND("~",SUBSTITUTE(LEFT((" "&amp;LEFT(SUBSTITUTE(A30,CHAR(13),""),FIND(CHAR(10),SUBSTITUTE(A30,CHAR(13),"")&amp;CHAR(10))-1)),FIND(".",(" "&amp;LEFT(SUBSTITUTE(A30,CHAR(13),""),FIND(CHAR(10),SUBSTITUTE(A30,CHAR(13),"")&amp;CHAR(10))-1))))," ","~",LEN(LEFT((" "&amp;LEFT(SUBSTITUTE(A30,CHAR(13),""),FIND(CHAR(10),SUBSTITUTE(A30,CHAR(13),"")&amp;CHAR(10))-1)),FIND(".",(" "&amp;LEFT(SUBSTITUTE(A30,CHAR(13),""),FIND(CHAR(10),SUBSTITUTE(A30,CHAR(13),"")&amp;CHAR(10))-1)))))-LEN(SUBSTITUTE(LEFT((" "&amp;LEFT(SUBSTITUTE(A30,CHAR(13),""),FIND(CHAR(10),SUBSTITUTE(A30,CHAR(13),"")&amp;CHAR(10))-1)),FIND(".",(" "&amp;LEFT(SUBSTITUTE(A30,CHAR(13),""),FIND(CHAR(10),SUBSTITUTE(A30,CHAR(13),"")&amp;CHAR(10))-1))))," ",""))))+1)),""))</f>
        <v/>
      </c>
    </row>
    <row r="31" customFormat="false" ht="30" hidden="false" customHeight="true" outlineLevel="0" collapsed="false">
      <c r="A31" s="11" t="str">
        <f aca="false">IFERROR(INDEX(Pegar!$A$3:$A$1002,MATCH(27,Pegar!$B$3:$B$1002,0))&amp;IF(LEFT(INDEX(Pegar!$A$3:$A$1003,MATCH(27,Pegar!$B$3:$B$1002,0)+1),5)="DESC=",CHAR(10)&amp;INDEX(Pegar!$A$3:$A$1003,MATCH(27,Pegar!$B$3:$B$1002,0)+1),""),"")</f>
        <v/>
      </c>
      <c r="B31" s="12" t="str">
        <f aca="false">IF(TRIM(A31)="","",IFERROR(MID(SUBSTITUTE(SUBSTITUTE(A31,CHAR(10)," "),CHAR(13)," "),FIND(" MT"," "&amp;SUBSTITUTE(SUBSTITUTE(A31,CHAR(10)," "),CHAR(13)," ")),FIND(" ",SUBSTITUTE(SUBSTITUTE(A31,CHAR(10)," "),CHAR(13)," ")&amp;" ",FIND(" MT"," "&amp;SUBSTITUTE(SUBSTITUTE(A31,CHAR(10)," "),CHAR(13)," ")))-FIND(" MT"," "&amp;SUBSTITUTE(SUBSTITUTE(A31,CHAR(10)," "),CHAR(13)," "))),"MT no encontrado"))</f>
        <v/>
      </c>
      <c r="C31" s="15" t="str">
        <f aca="false">IF(TRIM(A31)="","",IF(D31="",FALSE(),SUBSTITUTE(SUBSTITUTE(SUBSTITUTE(D31,".",""),"0",""),"-","")&lt;&gt;""))</f>
        <v/>
      </c>
      <c r="D31" s="14" t="str">
        <f aca="false">IF(TRIM(A31)="","",IFERROR(MID((" "&amp;LEFT(SUBSTITUTE(A31,CHAR(13),""),FIND(CHAR(10),SUBSTITUTE(A31,CHAR(13),"")&amp;CHAR(10))-1)),(FIND("~",SUBSTITUTE(LEFT((" "&amp;LEFT(SUBSTITUTE(A31,CHAR(13),""),FIND(CHAR(10),SUBSTITUTE(A31,CHAR(13),"")&amp;CHAR(10))-1)),FIND(".",(" "&amp;LEFT(SUBSTITUTE(A31,CHAR(13),""),FIND(CHAR(10),SUBSTITUTE(A31,CHAR(13),"")&amp;CHAR(10))-1))))," ","~",LEN(LEFT((" "&amp;LEFT(SUBSTITUTE(A31,CHAR(13),""),FIND(CHAR(10),SUBSTITUTE(A31,CHAR(13),"")&amp;CHAR(10))-1)),FIND(".",(" "&amp;LEFT(SUBSTITUTE(A31,CHAR(13),""),FIND(CHAR(10),SUBSTITUTE(A31,CHAR(13),"")&amp;CHAR(10))-1)))))-LEN(SUBSTITUTE(LEFT((" "&amp;LEFT(SUBSTITUTE(A31,CHAR(13),""),FIND(CHAR(10),SUBSTITUTE(A31,CHAR(13),"")&amp;CHAR(10))-1)),FIND(".",(" "&amp;LEFT(SUBSTITUTE(A31,CHAR(13),""),FIND(CHAR(10),SUBSTITUTE(A31,CHAR(13),"")&amp;CHAR(10))-1))))," ",""))))+1),FIND(" ",(" "&amp;LEFT(SUBSTITUTE(A31,CHAR(13),""),FIND(CHAR(10),SUBSTITUTE(A31,CHAR(13),"")&amp;CHAR(10))-1))&amp;" ",FIND(".",(" "&amp;LEFT(SUBSTITUTE(A31,CHAR(13),""),FIND(CHAR(10),SUBSTITUTE(A31,CHAR(13),"")&amp;CHAR(10))-1))))-(FIND("~",SUBSTITUTE(LEFT((" "&amp;LEFT(SUBSTITUTE(A31,CHAR(13),""),FIND(CHAR(10),SUBSTITUTE(A31,CHAR(13),"")&amp;CHAR(10))-1)),FIND(".",(" "&amp;LEFT(SUBSTITUTE(A31,CHAR(13),""),FIND(CHAR(10),SUBSTITUTE(A31,CHAR(13),"")&amp;CHAR(10))-1))))," ","~",LEN(LEFT((" "&amp;LEFT(SUBSTITUTE(A31,CHAR(13),""),FIND(CHAR(10),SUBSTITUTE(A31,CHAR(13),"")&amp;CHAR(10))-1)),FIND(".",(" "&amp;LEFT(SUBSTITUTE(A31,CHAR(13),""),FIND(CHAR(10),SUBSTITUTE(A31,CHAR(13),"")&amp;CHAR(10))-1)))))-LEN(SUBSTITUTE(LEFT((" "&amp;LEFT(SUBSTITUTE(A31,CHAR(13),""),FIND(CHAR(10),SUBSTITUTE(A31,CHAR(13),"")&amp;CHAR(10))-1)),FIND(".",(" "&amp;LEFT(SUBSTITUTE(A31,CHAR(13),""),FIND(CHAR(10),SUBSTITUTE(A31,CHAR(13),"")&amp;CHAR(10))-1))))," ",""))))+1)),""))</f>
        <v/>
      </c>
    </row>
    <row r="32" customFormat="false" ht="30" hidden="false" customHeight="true" outlineLevel="0" collapsed="false">
      <c r="A32" s="11" t="str">
        <f aca="false">IFERROR(INDEX(Pegar!$A$3:$A$1002,MATCH(28,Pegar!$B$3:$B$1002,0))&amp;IF(LEFT(INDEX(Pegar!$A$3:$A$1003,MATCH(28,Pegar!$B$3:$B$1002,0)+1),5)="DESC=",CHAR(10)&amp;INDEX(Pegar!$A$3:$A$1003,MATCH(28,Pegar!$B$3:$B$1002,0)+1),""),"")</f>
        <v/>
      </c>
      <c r="B32" s="12" t="str">
        <f aca="false">IF(TRIM(A32)="","",IFERROR(MID(SUBSTITUTE(SUBSTITUTE(A32,CHAR(10)," "),CHAR(13)," "),FIND(" MT"," "&amp;SUBSTITUTE(SUBSTITUTE(A32,CHAR(10)," "),CHAR(13)," ")),FIND(" ",SUBSTITUTE(SUBSTITUTE(A32,CHAR(10)," "),CHAR(13)," ")&amp;" ",FIND(" MT"," "&amp;SUBSTITUTE(SUBSTITUTE(A32,CHAR(10)," "),CHAR(13)," ")))-FIND(" MT"," "&amp;SUBSTITUTE(SUBSTITUTE(A32,CHAR(10)," "),CHAR(13)," "))),"MT no encontrado"))</f>
        <v/>
      </c>
      <c r="C32" s="15" t="str">
        <f aca="false">IF(TRIM(A32)="","",IF(D32="",FALSE(),SUBSTITUTE(SUBSTITUTE(SUBSTITUTE(D32,".",""),"0",""),"-","")&lt;&gt;""))</f>
        <v/>
      </c>
      <c r="D32" s="14" t="str">
        <f aca="false">IF(TRIM(A32)="","",IFERROR(MID((" "&amp;LEFT(SUBSTITUTE(A32,CHAR(13),""),FIND(CHAR(10),SUBSTITUTE(A32,CHAR(13),"")&amp;CHAR(10))-1)),(FIND("~",SUBSTITUTE(LEFT((" "&amp;LEFT(SUBSTITUTE(A32,CHAR(13),""),FIND(CHAR(10),SUBSTITUTE(A32,CHAR(13),"")&amp;CHAR(10))-1)),FIND(".",(" "&amp;LEFT(SUBSTITUTE(A32,CHAR(13),""),FIND(CHAR(10),SUBSTITUTE(A32,CHAR(13),"")&amp;CHAR(10))-1))))," ","~",LEN(LEFT((" "&amp;LEFT(SUBSTITUTE(A32,CHAR(13),""),FIND(CHAR(10),SUBSTITUTE(A32,CHAR(13),"")&amp;CHAR(10))-1)),FIND(".",(" "&amp;LEFT(SUBSTITUTE(A32,CHAR(13),""),FIND(CHAR(10),SUBSTITUTE(A32,CHAR(13),"")&amp;CHAR(10))-1)))))-LEN(SUBSTITUTE(LEFT((" "&amp;LEFT(SUBSTITUTE(A32,CHAR(13),""),FIND(CHAR(10),SUBSTITUTE(A32,CHAR(13),"")&amp;CHAR(10))-1)),FIND(".",(" "&amp;LEFT(SUBSTITUTE(A32,CHAR(13),""),FIND(CHAR(10),SUBSTITUTE(A32,CHAR(13),"")&amp;CHAR(10))-1))))," ",""))))+1),FIND(" ",(" "&amp;LEFT(SUBSTITUTE(A32,CHAR(13),""),FIND(CHAR(10),SUBSTITUTE(A32,CHAR(13),"")&amp;CHAR(10))-1))&amp;" ",FIND(".",(" "&amp;LEFT(SUBSTITUTE(A32,CHAR(13),""),FIND(CHAR(10),SUBSTITUTE(A32,CHAR(13),"")&amp;CHAR(10))-1))))-(FIND("~",SUBSTITUTE(LEFT((" "&amp;LEFT(SUBSTITUTE(A32,CHAR(13),""),FIND(CHAR(10),SUBSTITUTE(A32,CHAR(13),"")&amp;CHAR(10))-1)),FIND(".",(" "&amp;LEFT(SUBSTITUTE(A32,CHAR(13),""),FIND(CHAR(10),SUBSTITUTE(A32,CHAR(13),"")&amp;CHAR(10))-1))))," ","~",LEN(LEFT((" "&amp;LEFT(SUBSTITUTE(A32,CHAR(13),""),FIND(CHAR(10),SUBSTITUTE(A32,CHAR(13),"")&amp;CHAR(10))-1)),FIND(".",(" "&amp;LEFT(SUBSTITUTE(A32,CHAR(13),""),FIND(CHAR(10),SUBSTITUTE(A32,CHAR(13),"")&amp;CHAR(10))-1)))))-LEN(SUBSTITUTE(LEFT((" "&amp;LEFT(SUBSTITUTE(A32,CHAR(13),""),FIND(CHAR(10),SUBSTITUTE(A32,CHAR(13),"")&amp;CHAR(10))-1)),FIND(".",(" "&amp;LEFT(SUBSTITUTE(A32,CHAR(13),""),FIND(CHAR(10),SUBSTITUTE(A32,CHAR(13),"")&amp;CHAR(10))-1))))," ",""))))+1)),""))</f>
        <v/>
      </c>
    </row>
    <row r="33" customFormat="false" ht="30" hidden="false" customHeight="true" outlineLevel="0" collapsed="false">
      <c r="A33" s="11" t="str">
        <f aca="false">IFERROR(INDEX(Pegar!$A$3:$A$1002,MATCH(29,Pegar!$B$3:$B$1002,0))&amp;IF(LEFT(INDEX(Pegar!$A$3:$A$1003,MATCH(29,Pegar!$B$3:$B$1002,0)+1),5)="DESC=",CHAR(10)&amp;INDEX(Pegar!$A$3:$A$1003,MATCH(29,Pegar!$B$3:$B$1002,0)+1),""),"")</f>
        <v/>
      </c>
      <c r="B33" s="12" t="str">
        <f aca="false">IF(TRIM(A33)="","",IFERROR(MID(SUBSTITUTE(SUBSTITUTE(A33,CHAR(10)," "),CHAR(13)," "),FIND(" MT"," "&amp;SUBSTITUTE(SUBSTITUTE(A33,CHAR(10)," "),CHAR(13)," ")),FIND(" ",SUBSTITUTE(SUBSTITUTE(A33,CHAR(10)," "),CHAR(13)," ")&amp;" ",FIND(" MT"," "&amp;SUBSTITUTE(SUBSTITUTE(A33,CHAR(10)," "),CHAR(13)," ")))-FIND(" MT"," "&amp;SUBSTITUTE(SUBSTITUTE(A33,CHAR(10)," "),CHAR(13)," "))),"MT no encontrado"))</f>
        <v/>
      </c>
      <c r="C33" s="15" t="str">
        <f aca="false">IF(TRIM(A33)="","",IF(D33="",FALSE(),SUBSTITUTE(SUBSTITUTE(SUBSTITUTE(D33,".",""),"0",""),"-","")&lt;&gt;""))</f>
        <v/>
      </c>
      <c r="D33" s="14" t="str">
        <f aca="false">IF(TRIM(A33)="","",IFERROR(MID((" "&amp;LEFT(SUBSTITUTE(A33,CHAR(13),""),FIND(CHAR(10),SUBSTITUTE(A33,CHAR(13),"")&amp;CHAR(10))-1)),(FIND("~",SUBSTITUTE(LEFT((" "&amp;LEFT(SUBSTITUTE(A33,CHAR(13),""),FIND(CHAR(10),SUBSTITUTE(A33,CHAR(13),"")&amp;CHAR(10))-1)),FIND(".",(" "&amp;LEFT(SUBSTITUTE(A33,CHAR(13),""),FIND(CHAR(10),SUBSTITUTE(A33,CHAR(13),"")&amp;CHAR(10))-1))))," ","~",LEN(LEFT((" "&amp;LEFT(SUBSTITUTE(A33,CHAR(13),""),FIND(CHAR(10),SUBSTITUTE(A33,CHAR(13),"")&amp;CHAR(10))-1)),FIND(".",(" "&amp;LEFT(SUBSTITUTE(A33,CHAR(13),""),FIND(CHAR(10),SUBSTITUTE(A33,CHAR(13),"")&amp;CHAR(10))-1)))))-LEN(SUBSTITUTE(LEFT((" "&amp;LEFT(SUBSTITUTE(A33,CHAR(13),""),FIND(CHAR(10),SUBSTITUTE(A33,CHAR(13),"")&amp;CHAR(10))-1)),FIND(".",(" "&amp;LEFT(SUBSTITUTE(A33,CHAR(13),""),FIND(CHAR(10),SUBSTITUTE(A33,CHAR(13),"")&amp;CHAR(10))-1))))," ",""))))+1),FIND(" ",(" "&amp;LEFT(SUBSTITUTE(A33,CHAR(13),""),FIND(CHAR(10),SUBSTITUTE(A33,CHAR(13),"")&amp;CHAR(10))-1))&amp;" ",FIND(".",(" "&amp;LEFT(SUBSTITUTE(A33,CHAR(13),""),FIND(CHAR(10),SUBSTITUTE(A33,CHAR(13),"")&amp;CHAR(10))-1))))-(FIND("~",SUBSTITUTE(LEFT((" "&amp;LEFT(SUBSTITUTE(A33,CHAR(13),""),FIND(CHAR(10),SUBSTITUTE(A33,CHAR(13),"")&amp;CHAR(10))-1)),FIND(".",(" "&amp;LEFT(SUBSTITUTE(A33,CHAR(13),""),FIND(CHAR(10),SUBSTITUTE(A33,CHAR(13),"")&amp;CHAR(10))-1))))," ","~",LEN(LEFT((" "&amp;LEFT(SUBSTITUTE(A33,CHAR(13),""),FIND(CHAR(10),SUBSTITUTE(A33,CHAR(13),"")&amp;CHAR(10))-1)),FIND(".",(" "&amp;LEFT(SUBSTITUTE(A33,CHAR(13),""),FIND(CHAR(10),SUBSTITUTE(A33,CHAR(13),"")&amp;CHAR(10))-1)))))-LEN(SUBSTITUTE(LEFT((" "&amp;LEFT(SUBSTITUTE(A33,CHAR(13),""),FIND(CHAR(10),SUBSTITUTE(A33,CHAR(13),"")&amp;CHAR(10))-1)),FIND(".",(" "&amp;LEFT(SUBSTITUTE(A33,CHAR(13),""),FIND(CHAR(10),SUBSTITUTE(A33,CHAR(13),"")&amp;CHAR(10))-1))))," ",""))))+1)),""))</f>
        <v/>
      </c>
    </row>
    <row r="34" customFormat="false" ht="30" hidden="false" customHeight="true" outlineLevel="0" collapsed="false">
      <c r="A34" s="11" t="str">
        <f aca="false">IFERROR(INDEX(Pegar!$A$3:$A$1002,MATCH(30,Pegar!$B$3:$B$1002,0))&amp;IF(LEFT(INDEX(Pegar!$A$3:$A$1003,MATCH(30,Pegar!$B$3:$B$1002,0)+1),5)="DESC=",CHAR(10)&amp;INDEX(Pegar!$A$3:$A$1003,MATCH(30,Pegar!$B$3:$B$1002,0)+1),""),"")</f>
        <v/>
      </c>
      <c r="B34" s="12" t="str">
        <f aca="false">IF(TRIM(A34)="","",IFERROR(MID(SUBSTITUTE(SUBSTITUTE(A34,CHAR(10)," "),CHAR(13)," "),FIND(" MT"," "&amp;SUBSTITUTE(SUBSTITUTE(A34,CHAR(10)," "),CHAR(13)," ")),FIND(" ",SUBSTITUTE(SUBSTITUTE(A34,CHAR(10)," "),CHAR(13)," ")&amp;" ",FIND(" MT"," "&amp;SUBSTITUTE(SUBSTITUTE(A34,CHAR(10)," "),CHAR(13)," ")))-FIND(" MT"," "&amp;SUBSTITUTE(SUBSTITUTE(A34,CHAR(10)," "),CHAR(13)," "))),"MT no encontrado"))</f>
        <v/>
      </c>
      <c r="C34" s="15" t="str">
        <f aca="false">IF(TRIM(A34)="","",IF(D34="",FALSE(),SUBSTITUTE(SUBSTITUTE(SUBSTITUTE(D34,".",""),"0",""),"-","")&lt;&gt;""))</f>
        <v/>
      </c>
      <c r="D34" s="14" t="str">
        <f aca="false">IF(TRIM(A34)="","",IFERROR(MID((" "&amp;LEFT(SUBSTITUTE(A34,CHAR(13),""),FIND(CHAR(10),SUBSTITUTE(A34,CHAR(13),"")&amp;CHAR(10))-1)),(FIND("~",SUBSTITUTE(LEFT((" "&amp;LEFT(SUBSTITUTE(A34,CHAR(13),""),FIND(CHAR(10),SUBSTITUTE(A34,CHAR(13),"")&amp;CHAR(10))-1)),FIND(".",(" "&amp;LEFT(SUBSTITUTE(A34,CHAR(13),""),FIND(CHAR(10),SUBSTITUTE(A34,CHAR(13),"")&amp;CHAR(10))-1))))," ","~",LEN(LEFT((" "&amp;LEFT(SUBSTITUTE(A34,CHAR(13),""),FIND(CHAR(10),SUBSTITUTE(A34,CHAR(13),"")&amp;CHAR(10))-1)),FIND(".",(" "&amp;LEFT(SUBSTITUTE(A34,CHAR(13),""),FIND(CHAR(10),SUBSTITUTE(A34,CHAR(13),"")&amp;CHAR(10))-1)))))-LEN(SUBSTITUTE(LEFT((" "&amp;LEFT(SUBSTITUTE(A34,CHAR(13),""),FIND(CHAR(10),SUBSTITUTE(A34,CHAR(13),"")&amp;CHAR(10))-1)),FIND(".",(" "&amp;LEFT(SUBSTITUTE(A34,CHAR(13),""),FIND(CHAR(10),SUBSTITUTE(A34,CHAR(13),"")&amp;CHAR(10))-1))))," ",""))))+1),FIND(" ",(" "&amp;LEFT(SUBSTITUTE(A34,CHAR(13),""),FIND(CHAR(10),SUBSTITUTE(A34,CHAR(13),"")&amp;CHAR(10))-1))&amp;" ",FIND(".",(" "&amp;LEFT(SUBSTITUTE(A34,CHAR(13),""),FIND(CHAR(10),SUBSTITUTE(A34,CHAR(13),"")&amp;CHAR(10))-1))))-(FIND("~",SUBSTITUTE(LEFT((" "&amp;LEFT(SUBSTITUTE(A34,CHAR(13),""),FIND(CHAR(10),SUBSTITUTE(A34,CHAR(13),"")&amp;CHAR(10))-1)),FIND(".",(" "&amp;LEFT(SUBSTITUTE(A34,CHAR(13),""),FIND(CHAR(10),SUBSTITUTE(A34,CHAR(13),"")&amp;CHAR(10))-1))))," ","~",LEN(LEFT((" "&amp;LEFT(SUBSTITUTE(A34,CHAR(13),""),FIND(CHAR(10),SUBSTITUTE(A34,CHAR(13),"")&amp;CHAR(10))-1)),FIND(".",(" "&amp;LEFT(SUBSTITUTE(A34,CHAR(13),""),FIND(CHAR(10),SUBSTITUTE(A34,CHAR(13),"")&amp;CHAR(10))-1)))))-LEN(SUBSTITUTE(LEFT((" "&amp;LEFT(SUBSTITUTE(A34,CHAR(13),""),FIND(CHAR(10),SUBSTITUTE(A34,CHAR(13),"")&amp;CHAR(10))-1)),FIND(".",(" "&amp;LEFT(SUBSTITUTE(A34,CHAR(13),""),FIND(CHAR(10),SUBSTITUTE(A34,CHAR(13),"")&amp;CHAR(10))-1))))," ",""))))+1)),""))</f>
        <v/>
      </c>
    </row>
    <row r="35" customFormat="false" ht="30" hidden="false" customHeight="true" outlineLevel="0" collapsed="false">
      <c r="A35" s="11" t="str">
        <f aca="false">IFERROR(INDEX(Pegar!$A$3:$A$1002,MATCH(31,Pegar!$B$3:$B$1002,0))&amp;IF(LEFT(INDEX(Pegar!$A$3:$A$1003,MATCH(31,Pegar!$B$3:$B$1002,0)+1),5)="DESC=",CHAR(10)&amp;INDEX(Pegar!$A$3:$A$1003,MATCH(31,Pegar!$B$3:$B$1002,0)+1),""),"")</f>
        <v/>
      </c>
      <c r="B35" s="12" t="str">
        <f aca="false">IF(TRIM(A35)="","",IFERROR(MID(SUBSTITUTE(SUBSTITUTE(A35,CHAR(10)," "),CHAR(13)," "),FIND(" MT"," "&amp;SUBSTITUTE(SUBSTITUTE(A35,CHAR(10)," "),CHAR(13)," ")),FIND(" ",SUBSTITUTE(SUBSTITUTE(A35,CHAR(10)," "),CHAR(13)," ")&amp;" ",FIND(" MT"," "&amp;SUBSTITUTE(SUBSTITUTE(A35,CHAR(10)," "),CHAR(13)," ")))-FIND(" MT"," "&amp;SUBSTITUTE(SUBSTITUTE(A35,CHAR(10)," "),CHAR(13)," "))),"MT no encontrado"))</f>
        <v/>
      </c>
      <c r="C35" s="15" t="str">
        <f aca="false">IF(TRIM(A35)="","",IF(D35="",FALSE(),SUBSTITUTE(SUBSTITUTE(SUBSTITUTE(D35,".",""),"0",""),"-","")&lt;&gt;""))</f>
        <v/>
      </c>
      <c r="D35" s="14" t="str">
        <f aca="false">IF(TRIM(A35)="","",IFERROR(MID((" "&amp;LEFT(SUBSTITUTE(A35,CHAR(13),""),FIND(CHAR(10),SUBSTITUTE(A35,CHAR(13),"")&amp;CHAR(10))-1)),(FIND("~",SUBSTITUTE(LEFT((" "&amp;LEFT(SUBSTITUTE(A35,CHAR(13),""),FIND(CHAR(10),SUBSTITUTE(A35,CHAR(13),"")&amp;CHAR(10))-1)),FIND(".",(" "&amp;LEFT(SUBSTITUTE(A35,CHAR(13),""),FIND(CHAR(10),SUBSTITUTE(A35,CHAR(13),"")&amp;CHAR(10))-1))))," ","~",LEN(LEFT((" "&amp;LEFT(SUBSTITUTE(A35,CHAR(13),""),FIND(CHAR(10),SUBSTITUTE(A35,CHAR(13),"")&amp;CHAR(10))-1)),FIND(".",(" "&amp;LEFT(SUBSTITUTE(A35,CHAR(13),""),FIND(CHAR(10),SUBSTITUTE(A35,CHAR(13),"")&amp;CHAR(10))-1)))))-LEN(SUBSTITUTE(LEFT((" "&amp;LEFT(SUBSTITUTE(A35,CHAR(13),""),FIND(CHAR(10),SUBSTITUTE(A35,CHAR(13),"")&amp;CHAR(10))-1)),FIND(".",(" "&amp;LEFT(SUBSTITUTE(A35,CHAR(13),""),FIND(CHAR(10),SUBSTITUTE(A35,CHAR(13),"")&amp;CHAR(10))-1))))," ",""))))+1),FIND(" ",(" "&amp;LEFT(SUBSTITUTE(A35,CHAR(13),""),FIND(CHAR(10),SUBSTITUTE(A35,CHAR(13),"")&amp;CHAR(10))-1))&amp;" ",FIND(".",(" "&amp;LEFT(SUBSTITUTE(A35,CHAR(13),""),FIND(CHAR(10),SUBSTITUTE(A35,CHAR(13),"")&amp;CHAR(10))-1))))-(FIND("~",SUBSTITUTE(LEFT((" "&amp;LEFT(SUBSTITUTE(A35,CHAR(13),""),FIND(CHAR(10),SUBSTITUTE(A35,CHAR(13),"")&amp;CHAR(10))-1)),FIND(".",(" "&amp;LEFT(SUBSTITUTE(A35,CHAR(13),""),FIND(CHAR(10),SUBSTITUTE(A35,CHAR(13),"")&amp;CHAR(10))-1))))," ","~",LEN(LEFT((" "&amp;LEFT(SUBSTITUTE(A35,CHAR(13),""),FIND(CHAR(10),SUBSTITUTE(A35,CHAR(13),"")&amp;CHAR(10))-1)),FIND(".",(" "&amp;LEFT(SUBSTITUTE(A35,CHAR(13),""),FIND(CHAR(10),SUBSTITUTE(A35,CHAR(13),"")&amp;CHAR(10))-1)))))-LEN(SUBSTITUTE(LEFT((" "&amp;LEFT(SUBSTITUTE(A35,CHAR(13),""),FIND(CHAR(10),SUBSTITUTE(A35,CHAR(13),"")&amp;CHAR(10))-1)),FIND(".",(" "&amp;LEFT(SUBSTITUTE(A35,CHAR(13),""),FIND(CHAR(10),SUBSTITUTE(A35,CHAR(13),"")&amp;CHAR(10))-1))))," ",""))))+1)),""))</f>
        <v/>
      </c>
    </row>
    <row r="36" customFormat="false" ht="30" hidden="false" customHeight="true" outlineLevel="0" collapsed="false">
      <c r="A36" s="11" t="str">
        <f aca="false">IFERROR(INDEX(Pegar!$A$3:$A$1002,MATCH(32,Pegar!$B$3:$B$1002,0))&amp;IF(LEFT(INDEX(Pegar!$A$3:$A$1003,MATCH(32,Pegar!$B$3:$B$1002,0)+1),5)="DESC=",CHAR(10)&amp;INDEX(Pegar!$A$3:$A$1003,MATCH(32,Pegar!$B$3:$B$1002,0)+1),""),"")</f>
        <v/>
      </c>
      <c r="B36" s="12" t="str">
        <f aca="false">IF(TRIM(A36)="","",IFERROR(MID(SUBSTITUTE(SUBSTITUTE(A36,CHAR(10)," "),CHAR(13)," "),FIND(" MT"," "&amp;SUBSTITUTE(SUBSTITUTE(A36,CHAR(10)," "),CHAR(13)," ")),FIND(" ",SUBSTITUTE(SUBSTITUTE(A36,CHAR(10)," "),CHAR(13)," ")&amp;" ",FIND(" MT"," "&amp;SUBSTITUTE(SUBSTITUTE(A36,CHAR(10)," "),CHAR(13)," ")))-FIND(" MT"," "&amp;SUBSTITUTE(SUBSTITUTE(A36,CHAR(10)," "),CHAR(13)," "))),"MT no encontrado"))</f>
        <v/>
      </c>
      <c r="C36" s="15" t="str">
        <f aca="false">IF(TRIM(A36)="","",IF(D36="",FALSE(),SUBSTITUTE(SUBSTITUTE(SUBSTITUTE(D36,".",""),"0",""),"-","")&lt;&gt;""))</f>
        <v/>
      </c>
      <c r="D36" s="14" t="str">
        <f aca="false">IF(TRIM(A36)="","",IFERROR(MID((" "&amp;LEFT(SUBSTITUTE(A36,CHAR(13),""),FIND(CHAR(10),SUBSTITUTE(A36,CHAR(13),"")&amp;CHAR(10))-1)),(FIND("~",SUBSTITUTE(LEFT((" "&amp;LEFT(SUBSTITUTE(A36,CHAR(13),""),FIND(CHAR(10),SUBSTITUTE(A36,CHAR(13),"")&amp;CHAR(10))-1)),FIND(".",(" "&amp;LEFT(SUBSTITUTE(A36,CHAR(13),""),FIND(CHAR(10),SUBSTITUTE(A36,CHAR(13),"")&amp;CHAR(10))-1))))," ","~",LEN(LEFT((" "&amp;LEFT(SUBSTITUTE(A36,CHAR(13),""),FIND(CHAR(10),SUBSTITUTE(A36,CHAR(13),"")&amp;CHAR(10))-1)),FIND(".",(" "&amp;LEFT(SUBSTITUTE(A36,CHAR(13),""),FIND(CHAR(10),SUBSTITUTE(A36,CHAR(13),"")&amp;CHAR(10))-1)))))-LEN(SUBSTITUTE(LEFT((" "&amp;LEFT(SUBSTITUTE(A36,CHAR(13),""),FIND(CHAR(10),SUBSTITUTE(A36,CHAR(13),"")&amp;CHAR(10))-1)),FIND(".",(" "&amp;LEFT(SUBSTITUTE(A36,CHAR(13),""),FIND(CHAR(10),SUBSTITUTE(A36,CHAR(13),"")&amp;CHAR(10))-1))))," ",""))))+1),FIND(" ",(" "&amp;LEFT(SUBSTITUTE(A36,CHAR(13),""),FIND(CHAR(10),SUBSTITUTE(A36,CHAR(13),"")&amp;CHAR(10))-1))&amp;" ",FIND(".",(" "&amp;LEFT(SUBSTITUTE(A36,CHAR(13),""),FIND(CHAR(10),SUBSTITUTE(A36,CHAR(13),"")&amp;CHAR(10))-1))))-(FIND("~",SUBSTITUTE(LEFT((" "&amp;LEFT(SUBSTITUTE(A36,CHAR(13),""),FIND(CHAR(10),SUBSTITUTE(A36,CHAR(13),"")&amp;CHAR(10))-1)),FIND(".",(" "&amp;LEFT(SUBSTITUTE(A36,CHAR(13),""),FIND(CHAR(10),SUBSTITUTE(A36,CHAR(13),"")&amp;CHAR(10))-1))))," ","~",LEN(LEFT((" "&amp;LEFT(SUBSTITUTE(A36,CHAR(13),""),FIND(CHAR(10),SUBSTITUTE(A36,CHAR(13),"")&amp;CHAR(10))-1)),FIND(".",(" "&amp;LEFT(SUBSTITUTE(A36,CHAR(13),""),FIND(CHAR(10),SUBSTITUTE(A36,CHAR(13),"")&amp;CHAR(10))-1)))))-LEN(SUBSTITUTE(LEFT((" "&amp;LEFT(SUBSTITUTE(A36,CHAR(13),""),FIND(CHAR(10),SUBSTITUTE(A36,CHAR(13),"")&amp;CHAR(10))-1)),FIND(".",(" "&amp;LEFT(SUBSTITUTE(A36,CHAR(13),""),FIND(CHAR(10),SUBSTITUTE(A36,CHAR(13),"")&amp;CHAR(10))-1))))," ",""))))+1)),""))</f>
        <v/>
      </c>
    </row>
    <row r="37" customFormat="false" ht="30" hidden="false" customHeight="true" outlineLevel="0" collapsed="false">
      <c r="A37" s="11" t="str">
        <f aca="false">IFERROR(INDEX(Pegar!$A$3:$A$1002,MATCH(33,Pegar!$B$3:$B$1002,0))&amp;IF(LEFT(INDEX(Pegar!$A$3:$A$1003,MATCH(33,Pegar!$B$3:$B$1002,0)+1),5)="DESC=",CHAR(10)&amp;INDEX(Pegar!$A$3:$A$1003,MATCH(33,Pegar!$B$3:$B$1002,0)+1),""),"")</f>
        <v/>
      </c>
      <c r="B37" s="12" t="str">
        <f aca="false">IF(TRIM(A37)="","",IFERROR(MID(SUBSTITUTE(SUBSTITUTE(A37,CHAR(10)," "),CHAR(13)," "),FIND(" MT"," "&amp;SUBSTITUTE(SUBSTITUTE(A37,CHAR(10)," "),CHAR(13)," ")),FIND(" ",SUBSTITUTE(SUBSTITUTE(A37,CHAR(10)," "),CHAR(13)," ")&amp;" ",FIND(" MT"," "&amp;SUBSTITUTE(SUBSTITUTE(A37,CHAR(10)," "),CHAR(13)," ")))-FIND(" MT"," "&amp;SUBSTITUTE(SUBSTITUTE(A37,CHAR(10)," "),CHAR(13)," "))),"MT no encontrado"))</f>
        <v/>
      </c>
      <c r="C37" s="15" t="str">
        <f aca="false">IF(TRIM(A37)="","",IF(D37="",FALSE(),SUBSTITUTE(SUBSTITUTE(SUBSTITUTE(D37,".",""),"0",""),"-","")&lt;&gt;""))</f>
        <v/>
      </c>
      <c r="D37" s="14" t="str">
        <f aca="false">IF(TRIM(A37)="","",IFERROR(MID((" "&amp;LEFT(SUBSTITUTE(A37,CHAR(13),""),FIND(CHAR(10),SUBSTITUTE(A37,CHAR(13),"")&amp;CHAR(10))-1)),(FIND("~",SUBSTITUTE(LEFT((" "&amp;LEFT(SUBSTITUTE(A37,CHAR(13),""),FIND(CHAR(10),SUBSTITUTE(A37,CHAR(13),"")&amp;CHAR(10))-1)),FIND(".",(" "&amp;LEFT(SUBSTITUTE(A37,CHAR(13),""),FIND(CHAR(10),SUBSTITUTE(A37,CHAR(13),"")&amp;CHAR(10))-1))))," ","~",LEN(LEFT((" "&amp;LEFT(SUBSTITUTE(A37,CHAR(13),""),FIND(CHAR(10),SUBSTITUTE(A37,CHAR(13),"")&amp;CHAR(10))-1)),FIND(".",(" "&amp;LEFT(SUBSTITUTE(A37,CHAR(13),""),FIND(CHAR(10),SUBSTITUTE(A37,CHAR(13),"")&amp;CHAR(10))-1)))))-LEN(SUBSTITUTE(LEFT((" "&amp;LEFT(SUBSTITUTE(A37,CHAR(13),""),FIND(CHAR(10),SUBSTITUTE(A37,CHAR(13),"")&amp;CHAR(10))-1)),FIND(".",(" "&amp;LEFT(SUBSTITUTE(A37,CHAR(13),""),FIND(CHAR(10),SUBSTITUTE(A37,CHAR(13),"")&amp;CHAR(10))-1))))," ",""))))+1),FIND(" ",(" "&amp;LEFT(SUBSTITUTE(A37,CHAR(13),""),FIND(CHAR(10),SUBSTITUTE(A37,CHAR(13),"")&amp;CHAR(10))-1))&amp;" ",FIND(".",(" "&amp;LEFT(SUBSTITUTE(A37,CHAR(13),""),FIND(CHAR(10),SUBSTITUTE(A37,CHAR(13),"")&amp;CHAR(10))-1))))-(FIND("~",SUBSTITUTE(LEFT((" "&amp;LEFT(SUBSTITUTE(A37,CHAR(13),""),FIND(CHAR(10),SUBSTITUTE(A37,CHAR(13),"")&amp;CHAR(10))-1)),FIND(".",(" "&amp;LEFT(SUBSTITUTE(A37,CHAR(13),""),FIND(CHAR(10),SUBSTITUTE(A37,CHAR(13),"")&amp;CHAR(10))-1))))," ","~",LEN(LEFT((" "&amp;LEFT(SUBSTITUTE(A37,CHAR(13),""),FIND(CHAR(10),SUBSTITUTE(A37,CHAR(13),"")&amp;CHAR(10))-1)),FIND(".",(" "&amp;LEFT(SUBSTITUTE(A37,CHAR(13),""),FIND(CHAR(10),SUBSTITUTE(A37,CHAR(13),"")&amp;CHAR(10))-1)))))-LEN(SUBSTITUTE(LEFT((" "&amp;LEFT(SUBSTITUTE(A37,CHAR(13),""),FIND(CHAR(10),SUBSTITUTE(A37,CHAR(13),"")&amp;CHAR(10))-1)),FIND(".",(" "&amp;LEFT(SUBSTITUTE(A37,CHAR(13),""),FIND(CHAR(10),SUBSTITUTE(A37,CHAR(13),"")&amp;CHAR(10))-1))))," ",""))))+1)),""))</f>
        <v/>
      </c>
    </row>
    <row r="38" customFormat="false" ht="30" hidden="false" customHeight="true" outlineLevel="0" collapsed="false">
      <c r="A38" s="11" t="str">
        <f aca="false">IFERROR(INDEX(Pegar!$A$3:$A$1002,MATCH(34,Pegar!$B$3:$B$1002,0))&amp;IF(LEFT(INDEX(Pegar!$A$3:$A$1003,MATCH(34,Pegar!$B$3:$B$1002,0)+1),5)="DESC=",CHAR(10)&amp;INDEX(Pegar!$A$3:$A$1003,MATCH(34,Pegar!$B$3:$B$1002,0)+1),""),"")</f>
        <v/>
      </c>
      <c r="B38" s="12" t="str">
        <f aca="false">IF(TRIM(A38)="","",IFERROR(MID(SUBSTITUTE(SUBSTITUTE(A38,CHAR(10)," "),CHAR(13)," "),FIND(" MT"," "&amp;SUBSTITUTE(SUBSTITUTE(A38,CHAR(10)," "),CHAR(13)," ")),FIND(" ",SUBSTITUTE(SUBSTITUTE(A38,CHAR(10)," "),CHAR(13)," ")&amp;" ",FIND(" MT"," "&amp;SUBSTITUTE(SUBSTITUTE(A38,CHAR(10)," "),CHAR(13)," ")))-FIND(" MT"," "&amp;SUBSTITUTE(SUBSTITUTE(A38,CHAR(10)," "),CHAR(13)," "))),"MT no encontrado"))</f>
        <v/>
      </c>
      <c r="C38" s="15" t="str">
        <f aca="false">IF(TRIM(A38)="","",IF(D38="",FALSE(),SUBSTITUTE(SUBSTITUTE(SUBSTITUTE(D38,".",""),"0",""),"-","")&lt;&gt;""))</f>
        <v/>
      </c>
      <c r="D38" s="14" t="str">
        <f aca="false">IF(TRIM(A38)="","",IFERROR(MID((" "&amp;LEFT(SUBSTITUTE(A38,CHAR(13),""),FIND(CHAR(10),SUBSTITUTE(A38,CHAR(13),"")&amp;CHAR(10))-1)),(FIND("~",SUBSTITUTE(LEFT((" "&amp;LEFT(SUBSTITUTE(A38,CHAR(13),""),FIND(CHAR(10),SUBSTITUTE(A38,CHAR(13),"")&amp;CHAR(10))-1)),FIND(".",(" "&amp;LEFT(SUBSTITUTE(A38,CHAR(13),""),FIND(CHAR(10),SUBSTITUTE(A38,CHAR(13),"")&amp;CHAR(10))-1))))," ","~",LEN(LEFT((" "&amp;LEFT(SUBSTITUTE(A38,CHAR(13),""),FIND(CHAR(10),SUBSTITUTE(A38,CHAR(13),"")&amp;CHAR(10))-1)),FIND(".",(" "&amp;LEFT(SUBSTITUTE(A38,CHAR(13),""),FIND(CHAR(10),SUBSTITUTE(A38,CHAR(13),"")&amp;CHAR(10))-1)))))-LEN(SUBSTITUTE(LEFT((" "&amp;LEFT(SUBSTITUTE(A38,CHAR(13),""),FIND(CHAR(10),SUBSTITUTE(A38,CHAR(13),"")&amp;CHAR(10))-1)),FIND(".",(" "&amp;LEFT(SUBSTITUTE(A38,CHAR(13),""),FIND(CHAR(10),SUBSTITUTE(A38,CHAR(13),"")&amp;CHAR(10))-1))))," ",""))))+1),FIND(" ",(" "&amp;LEFT(SUBSTITUTE(A38,CHAR(13),""),FIND(CHAR(10),SUBSTITUTE(A38,CHAR(13),"")&amp;CHAR(10))-1))&amp;" ",FIND(".",(" "&amp;LEFT(SUBSTITUTE(A38,CHAR(13),""),FIND(CHAR(10),SUBSTITUTE(A38,CHAR(13),"")&amp;CHAR(10))-1))))-(FIND("~",SUBSTITUTE(LEFT((" "&amp;LEFT(SUBSTITUTE(A38,CHAR(13),""),FIND(CHAR(10),SUBSTITUTE(A38,CHAR(13),"")&amp;CHAR(10))-1)),FIND(".",(" "&amp;LEFT(SUBSTITUTE(A38,CHAR(13),""),FIND(CHAR(10),SUBSTITUTE(A38,CHAR(13),"")&amp;CHAR(10))-1))))," ","~",LEN(LEFT((" "&amp;LEFT(SUBSTITUTE(A38,CHAR(13),""),FIND(CHAR(10),SUBSTITUTE(A38,CHAR(13),"")&amp;CHAR(10))-1)),FIND(".",(" "&amp;LEFT(SUBSTITUTE(A38,CHAR(13),""),FIND(CHAR(10),SUBSTITUTE(A38,CHAR(13),"")&amp;CHAR(10))-1)))))-LEN(SUBSTITUTE(LEFT((" "&amp;LEFT(SUBSTITUTE(A38,CHAR(13),""),FIND(CHAR(10),SUBSTITUTE(A38,CHAR(13),"")&amp;CHAR(10))-1)),FIND(".",(" "&amp;LEFT(SUBSTITUTE(A38,CHAR(13),""),FIND(CHAR(10),SUBSTITUTE(A38,CHAR(13),"")&amp;CHAR(10))-1))))," ",""))))+1)),""))</f>
        <v/>
      </c>
    </row>
    <row r="39" customFormat="false" ht="30" hidden="false" customHeight="true" outlineLevel="0" collapsed="false">
      <c r="A39" s="11" t="str">
        <f aca="false">IFERROR(INDEX(Pegar!$A$3:$A$1002,MATCH(35,Pegar!$B$3:$B$1002,0))&amp;IF(LEFT(INDEX(Pegar!$A$3:$A$1003,MATCH(35,Pegar!$B$3:$B$1002,0)+1),5)="DESC=",CHAR(10)&amp;INDEX(Pegar!$A$3:$A$1003,MATCH(35,Pegar!$B$3:$B$1002,0)+1),""),"")</f>
        <v/>
      </c>
      <c r="B39" s="12" t="str">
        <f aca="false">IF(TRIM(A39)="","",IFERROR(MID(SUBSTITUTE(SUBSTITUTE(A39,CHAR(10)," "),CHAR(13)," "),FIND(" MT"," "&amp;SUBSTITUTE(SUBSTITUTE(A39,CHAR(10)," "),CHAR(13)," ")),FIND(" ",SUBSTITUTE(SUBSTITUTE(A39,CHAR(10)," "),CHAR(13)," ")&amp;" ",FIND(" MT"," "&amp;SUBSTITUTE(SUBSTITUTE(A39,CHAR(10)," "),CHAR(13)," ")))-FIND(" MT"," "&amp;SUBSTITUTE(SUBSTITUTE(A39,CHAR(10)," "),CHAR(13)," "))),"MT no encontrado"))</f>
        <v/>
      </c>
      <c r="C39" s="15" t="str">
        <f aca="false">IF(TRIM(A39)="","",IF(D39="",FALSE(),SUBSTITUTE(SUBSTITUTE(SUBSTITUTE(D39,".",""),"0",""),"-","")&lt;&gt;""))</f>
        <v/>
      </c>
      <c r="D39" s="14" t="str">
        <f aca="false">IF(TRIM(A39)="","",IFERROR(MID((" "&amp;LEFT(SUBSTITUTE(A39,CHAR(13),""),FIND(CHAR(10),SUBSTITUTE(A39,CHAR(13),"")&amp;CHAR(10))-1)),(FIND("~",SUBSTITUTE(LEFT((" "&amp;LEFT(SUBSTITUTE(A39,CHAR(13),""),FIND(CHAR(10),SUBSTITUTE(A39,CHAR(13),"")&amp;CHAR(10))-1)),FIND(".",(" "&amp;LEFT(SUBSTITUTE(A39,CHAR(13),""),FIND(CHAR(10),SUBSTITUTE(A39,CHAR(13),"")&amp;CHAR(10))-1))))," ","~",LEN(LEFT((" "&amp;LEFT(SUBSTITUTE(A39,CHAR(13),""),FIND(CHAR(10),SUBSTITUTE(A39,CHAR(13),"")&amp;CHAR(10))-1)),FIND(".",(" "&amp;LEFT(SUBSTITUTE(A39,CHAR(13),""),FIND(CHAR(10),SUBSTITUTE(A39,CHAR(13),"")&amp;CHAR(10))-1)))))-LEN(SUBSTITUTE(LEFT((" "&amp;LEFT(SUBSTITUTE(A39,CHAR(13),""),FIND(CHAR(10),SUBSTITUTE(A39,CHAR(13),"")&amp;CHAR(10))-1)),FIND(".",(" "&amp;LEFT(SUBSTITUTE(A39,CHAR(13),""),FIND(CHAR(10),SUBSTITUTE(A39,CHAR(13),"")&amp;CHAR(10))-1))))," ",""))))+1),FIND(" ",(" "&amp;LEFT(SUBSTITUTE(A39,CHAR(13),""),FIND(CHAR(10),SUBSTITUTE(A39,CHAR(13),"")&amp;CHAR(10))-1))&amp;" ",FIND(".",(" "&amp;LEFT(SUBSTITUTE(A39,CHAR(13),""),FIND(CHAR(10),SUBSTITUTE(A39,CHAR(13),"")&amp;CHAR(10))-1))))-(FIND("~",SUBSTITUTE(LEFT((" "&amp;LEFT(SUBSTITUTE(A39,CHAR(13),""),FIND(CHAR(10),SUBSTITUTE(A39,CHAR(13),"")&amp;CHAR(10))-1)),FIND(".",(" "&amp;LEFT(SUBSTITUTE(A39,CHAR(13),""),FIND(CHAR(10),SUBSTITUTE(A39,CHAR(13),"")&amp;CHAR(10))-1))))," ","~",LEN(LEFT((" "&amp;LEFT(SUBSTITUTE(A39,CHAR(13),""),FIND(CHAR(10),SUBSTITUTE(A39,CHAR(13),"")&amp;CHAR(10))-1)),FIND(".",(" "&amp;LEFT(SUBSTITUTE(A39,CHAR(13),""),FIND(CHAR(10),SUBSTITUTE(A39,CHAR(13),"")&amp;CHAR(10))-1)))))-LEN(SUBSTITUTE(LEFT((" "&amp;LEFT(SUBSTITUTE(A39,CHAR(13),""),FIND(CHAR(10),SUBSTITUTE(A39,CHAR(13),"")&amp;CHAR(10))-1)),FIND(".",(" "&amp;LEFT(SUBSTITUTE(A39,CHAR(13),""),FIND(CHAR(10),SUBSTITUTE(A39,CHAR(13),"")&amp;CHAR(10))-1))))," ",""))))+1)),""))</f>
        <v/>
      </c>
    </row>
    <row r="40" customFormat="false" ht="30" hidden="false" customHeight="true" outlineLevel="0" collapsed="false">
      <c r="A40" s="11" t="str">
        <f aca="false">IFERROR(INDEX(Pegar!$A$3:$A$1002,MATCH(36,Pegar!$B$3:$B$1002,0))&amp;IF(LEFT(INDEX(Pegar!$A$3:$A$1003,MATCH(36,Pegar!$B$3:$B$1002,0)+1),5)="DESC=",CHAR(10)&amp;INDEX(Pegar!$A$3:$A$1003,MATCH(36,Pegar!$B$3:$B$1002,0)+1),""),"")</f>
        <v/>
      </c>
      <c r="B40" s="12" t="str">
        <f aca="false">IF(TRIM(A40)="","",IFERROR(MID(SUBSTITUTE(SUBSTITUTE(A40,CHAR(10)," "),CHAR(13)," "),FIND(" MT"," "&amp;SUBSTITUTE(SUBSTITUTE(A40,CHAR(10)," "),CHAR(13)," ")),FIND(" ",SUBSTITUTE(SUBSTITUTE(A40,CHAR(10)," "),CHAR(13)," ")&amp;" ",FIND(" MT"," "&amp;SUBSTITUTE(SUBSTITUTE(A40,CHAR(10)," "),CHAR(13)," ")))-FIND(" MT"," "&amp;SUBSTITUTE(SUBSTITUTE(A40,CHAR(10)," "),CHAR(13)," "))),"MT no encontrado"))</f>
        <v/>
      </c>
      <c r="C40" s="15" t="str">
        <f aca="false">IF(TRIM(A40)="","",IF(D40="",FALSE(),SUBSTITUTE(SUBSTITUTE(SUBSTITUTE(D40,".",""),"0",""),"-","")&lt;&gt;""))</f>
        <v/>
      </c>
      <c r="D40" s="14" t="str">
        <f aca="false">IF(TRIM(A40)="","",IFERROR(MID((" "&amp;LEFT(SUBSTITUTE(A40,CHAR(13),""),FIND(CHAR(10),SUBSTITUTE(A40,CHAR(13),"")&amp;CHAR(10))-1)),(FIND("~",SUBSTITUTE(LEFT((" "&amp;LEFT(SUBSTITUTE(A40,CHAR(13),""),FIND(CHAR(10),SUBSTITUTE(A40,CHAR(13),"")&amp;CHAR(10))-1)),FIND(".",(" "&amp;LEFT(SUBSTITUTE(A40,CHAR(13),""),FIND(CHAR(10),SUBSTITUTE(A40,CHAR(13),"")&amp;CHAR(10))-1))))," ","~",LEN(LEFT((" "&amp;LEFT(SUBSTITUTE(A40,CHAR(13),""),FIND(CHAR(10),SUBSTITUTE(A40,CHAR(13),"")&amp;CHAR(10))-1)),FIND(".",(" "&amp;LEFT(SUBSTITUTE(A40,CHAR(13),""),FIND(CHAR(10),SUBSTITUTE(A40,CHAR(13),"")&amp;CHAR(10))-1)))))-LEN(SUBSTITUTE(LEFT((" "&amp;LEFT(SUBSTITUTE(A40,CHAR(13),""),FIND(CHAR(10),SUBSTITUTE(A40,CHAR(13),"")&amp;CHAR(10))-1)),FIND(".",(" "&amp;LEFT(SUBSTITUTE(A40,CHAR(13),""),FIND(CHAR(10),SUBSTITUTE(A40,CHAR(13),"")&amp;CHAR(10))-1))))," ",""))))+1),FIND(" ",(" "&amp;LEFT(SUBSTITUTE(A40,CHAR(13),""),FIND(CHAR(10),SUBSTITUTE(A40,CHAR(13),"")&amp;CHAR(10))-1))&amp;" ",FIND(".",(" "&amp;LEFT(SUBSTITUTE(A40,CHAR(13),""),FIND(CHAR(10),SUBSTITUTE(A40,CHAR(13),"")&amp;CHAR(10))-1))))-(FIND("~",SUBSTITUTE(LEFT((" "&amp;LEFT(SUBSTITUTE(A40,CHAR(13),""),FIND(CHAR(10),SUBSTITUTE(A40,CHAR(13),"")&amp;CHAR(10))-1)),FIND(".",(" "&amp;LEFT(SUBSTITUTE(A40,CHAR(13),""),FIND(CHAR(10),SUBSTITUTE(A40,CHAR(13),"")&amp;CHAR(10))-1))))," ","~",LEN(LEFT((" "&amp;LEFT(SUBSTITUTE(A40,CHAR(13),""),FIND(CHAR(10),SUBSTITUTE(A40,CHAR(13),"")&amp;CHAR(10))-1)),FIND(".",(" "&amp;LEFT(SUBSTITUTE(A40,CHAR(13),""),FIND(CHAR(10),SUBSTITUTE(A40,CHAR(13),"")&amp;CHAR(10))-1)))))-LEN(SUBSTITUTE(LEFT((" "&amp;LEFT(SUBSTITUTE(A40,CHAR(13),""),FIND(CHAR(10),SUBSTITUTE(A40,CHAR(13),"")&amp;CHAR(10))-1)),FIND(".",(" "&amp;LEFT(SUBSTITUTE(A40,CHAR(13),""),FIND(CHAR(10),SUBSTITUTE(A40,CHAR(13),"")&amp;CHAR(10))-1))))," ",""))))+1)),""))</f>
        <v/>
      </c>
    </row>
    <row r="41" customFormat="false" ht="30" hidden="false" customHeight="true" outlineLevel="0" collapsed="false">
      <c r="A41" s="11" t="str">
        <f aca="false">IFERROR(INDEX(Pegar!$A$3:$A$1002,MATCH(37,Pegar!$B$3:$B$1002,0))&amp;IF(LEFT(INDEX(Pegar!$A$3:$A$1003,MATCH(37,Pegar!$B$3:$B$1002,0)+1),5)="DESC=",CHAR(10)&amp;INDEX(Pegar!$A$3:$A$1003,MATCH(37,Pegar!$B$3:$B$1002,0)+1),""),"")</f>
        <v/>
      </c>
      <c r="B41" s="12" t="str">
        <f aca="false">IF(TRIM(A41)="","",IFERROR(MID(SUBSTITUTE(SUBSTITUTE(A41,CHAR(10)," "),CHAR(13)," "),FIND(" MT"," "&amp;SUBSTITUTE(SUBSTITUTE(A41,CHAR(10)," "),CHAR(13)," ")),FIND(" ",SUBSTITUTE(SUBSTITUTE(A41,CHAR(10)," "),CHAR(13)," ")&amp;" ",FIND(" MT"," "&amp;SUBSTITUTE(SUBSTITUTE(A41,CHAR(10)," "),CHAR(13)," ")))-FIND(" MT"," "&amp;SUBSTITUTE(SUBSTITUTE(A41,CHAR(10)," "),CHAR(13)," "))),"MT no encontrado"))</f>
        <v/>
      </c>
      <c r="C41" s="15" t="str">
        <f aca="false">IF(TRIM(A41)="","",IF(D41="",FALSE(),SUBSTITUTE(SUBSTITUTE(SUBSTITUTE(D41,".",""),"0",""),"-","")&lt;&gt;""))</f>
        <v/>
      </c>
      <c r="D41" s="14" t="str">
        <f aca="false">IF(TRIM(A41)="","",IFERROR(MID((" "&amp;LEFT(SUBSTITUTE(A41,CHAR(13),""),FIND(CHAR(10),SUBSTITUTE(A41,CHAR(13),"")&amp;CHAR(10))-1)),(FIND("~",SUBSTITUTE(LEFT((" "&amp;LEFT(SUBSTITUTE(A41,CHAR(13),""),FIND(CHAR(10),SUBSTITUTE(A41,CHAR(13),"")&amp;CHAR(10))-1)),FIND(".",(" "&amp;LEFT(SUBSTITUTE(A41,CHAR(13),""),FIND(CHAR(10),SUBSTITUTE(A41,CHAR(13),"")&amp;CHAR(10))-1))))," ","~",LEN(LEFT((" "&amp;LEFT(SUBSTITUTE(A41,CHAR(13),""),FIND(CHAR(10),SUBSTITUTE(A41,CHAR(13),"")&amp;CHAR(10))-1)),FIND(".",(" "&amp;LEFT(SUBSTITUTE(A41,CHAR(13),""),FIND(CHAR(10),SUBSTITUTE(A41,CHAR(13),"")&amp;CHAR(10))-1)))))-LEN(SUBSTITUTE(LEFT((" "&amp;LEFT(SUBSTITUTE(A41,CHAR(13),""),FIND(CHAR(10),SUBSTITUTE(A41,CHAR(13),"")&amp;CHAR(10))-1)),FIND(".",(" "&amp;LEFT(SUBSTITUTE(A41,CHAR(13),""),FIND(CHAR(10),SUBSTITUTE(A41,CHAR(13),"")&amp;CHAR(10))-1))))," ",""))))+1),FIND(" ",(" "&amp;LEFT(SUBSTITUTE(A41,CHAR(13),""),FIND(CHAR(10),SUBSTITUTE(A41,CHAR(13),"")&amp;CHAR(10))-1))&amp;" ",FIND(".",(" "&amp;LEFT(SUBSTITUTE(A41,CHAR(13),""),FIND(CHAR(10),SUBSTITUTE(A41,CHAR(13),"")&amp;CHAR(10))-1))))-(FIND("~",SUBSTITUTE(LEFT((" "&amp;LEFT(SUBSTITUTE(A41,CHAR(13),""),FIND(CHAR(10),SUBSTITUTE(A41,CHAR(13),"")&amp;CHAR(10))-1)),FIND(".",(" "&amp;LEFT(SUBSTITUTE(A41,CHAR(13),""),FIND(CHAR(10),SUBSTITUTE(A41,CHAR(13),"")&amp;CHAR(10))-1))))," ","~",LEN(LEFT((" "&amp;LEFT(SUBSTITUTE(A41,CHAR(13),""),FIND(CHAR(10),SUBSTITUTE(A41,CHAR(13),"")&amp;CHAR(10))-1)),FIND(".",(" "&amp;LEFT(SUBSTITUTE(A41,CHAR(13),""),FIND(CHAR(10),SUBSTITUTE(A41,CHAR(13),"")&amp;CHAR(10))-1)))))-LEN(SUBSTITUTE(LEFT((" "&amp;LEFT(SUBSTITUTE(A41,CHAR(13),""),FIND(CHAR(10),SUBSTITUTE(A41,CHAR(13),"")&amp;CHAR(10))-1)),FIND(".",(" "&amp;LEFT(SUBSTITUTE(A41,CHAR(13),""),FIND(CHAR(10),SUBSTITUTE(A41,CHAR(13),"")&amp;CHAR(10))-1))))," ",""))))+1)),""))</f>
        <v/>
      </c>
    </row>
    <row r="42" customFormat="false" ht="30" hidden="false" customHeight="true" outlineLevel="0" collapsed="false">
      <c r="A42" s="11" t="str">
        <f aca="false">IFERROR(INDEX(Pegar!$A$3:$A$1002,MATCH(38,Pegar!$B$3:$B$1002,0))&amp;IF(LEFT(INDEX(Pegar!$A$3:$A$1003,MATCH(38,Pegar!$B$3:$B$1002,0)+1),5)="DESC=",CHAR(10)&amp;INDEX(Pegar!$A$3:$A$1003,MATCH(38,Pegar!$B$3:$B$1002,0)+1),""),"")</f>
        <v/>
      </c>
      <c r="B42" s="12" t="str">
        <f aca="false">IF(TRIM(A42)="","",IFERROR(MID(SUBSTITUTE(SUBSTITUTE(A42,CHAR(10)," "),CHAR(13)," "),FIND(" MT"," "&amp;SUBSTITUTE(SUBSTITUTE(A42,CHAR(10)," "),CHAR(13)," ")),FIND(" ",SUBSTITUTE(SUBSTITUTE(A42,CHAR(10)," "),CHAR(13)," ")&amp;" ",FIND(" MT"," "&amp;SUBSTITUTE(SUBSTITUTE(A42,CHAR(10)," "),CHAR(13)," ")))-FIND(" MT"," "&amp;SUBSTITUTE(SUBSTITUTE(A42,CHAR(10)," "),CHAR(13)," "))),"MT no encontrado"))</f>
        <v/>
      </c>
      <c r="C42" s="15" t="str">
        <f aca="false">IF(TRIM(A42)="","",IF(D42="",FALSE(),SUBSTITUTE(SUBSTITUTE(SUBSTITUTE(D42,".",""),"0",""),"-","")&lt;&gt;""))</f>
        <v/>
      </c>
      <c r="D42" s="14" t="str">
        <f aca="false">IF(TRIM(A42)="","",IFERROR(MID((" "&amp;LEFT(SUBSTITUTE(A42,CHAR(13),""),FIND(CHAR(10),SUBSTITUTE(A42,CHAR(13),"")&amp;CHAR(10))-1)),(FIND("~",SUBSTITUTE(LEFT((" "&amp;LEFT(SUBSTITUTE(A42,CHAR(13),""),FIND(CHAR(10),SUBSTITUTE(A42,CHAR(13),"")&amp;CHAR(10))-1)),FIND(".",(" "&amp;LEFT(SUBSTITUTE(A42,CHAR(13),""),FIND(CHAR(10),SUBSTITUTE(A42,CHAR(13),"")&amp;CHAR(10))-1))))," ","~",LEN(LEFT((" "&amp;LEFT(SUBSTITUTE(A42,CHAR(13),""),FIND(CHAR(10),SUBSTITUTE(A42,CHAR(13),"")&amp;CHAR(10))-1)),FIND(".",(" "&amp;LEFT(SUBSTITUTE(A42,CHAR(13),""),FIND(CHAR(10),SUBSTITUTE(A42,CHAR(13),"")&amp;CHAR(10))-1)))))-LEN(SUBSTITUTE(LEFT((" "&amp;LEFT(SUBSTITUTE(A42,CHAR(13),""),FIND(CHAR(10),SUBSTITUTE(A42,CHAR(13),"")&amp;CHAR(10))-1)),FIND(".",(" "&amp;LEFT(SUBSTITUTE(A42,CHAR(13),""),FIND(CHAR(10),SUBSTITUTE(A42,CHAR(13),"")&amp;CHAR(10))-1))))," ",""))))+1),FIND(" ",(" "&amp;LEFT(SUBSTITUTE(A42,CHAR(13),""),FIND(CHAR(10),SUBSTITUTE(A42,CHAR(13),"")&amp;CHAR(10))-1))&amp;" ",FIND(".",(" "&amp;LEFT(SUBSTITUTE(A42,CHAR(13),""),FIND(CHAR(10),SUBSTITUTE(A42,CHAR(13),"")&amp;CHAR(10))-1))))-(FIND("~",SUBSTITUTE(LEFT((" "&amp;LEFT(SUBSTITUTE(A42,CHAR(13),""),FIND(CHAR(10),SUBSTITUTE(A42,CHAR(13),"")&amp;CHAR(10))-1)),FIND(".",(" "&amp;LEFT(SUBSTITUTE(A42,CHAR(13),""),FIND(CHAR(10),SUBSTITUTE(A42,CHAR(13),"")&amp;CHAR(10))-1))))," ","~",LEN(LEFT((" "&amp;LEFT(SUBSTITUTE(A42,CHAR(13),""),FIND(CHAR(10),SUBSTITUTE(A42,CHAR(13),"")&amp;CHAR(10))-1)),FIND(".",(" "&amp;LEFT(SUBSTITUTE(A42,CHAR(13),""),FIND(CHAR(10),SUBSTITUTE(A42,CHAR(13),"")&amp;CHAR(10))-1)))))-LEN(SUBSTITUTE(LEFT((" "&amp;LEFT(SUBSTITUTE(A42,CHAR(13),""),FIND(CHAR(10),SUBSTITUTE(A42,CHAR(13),"")&amp;CHAR(10))-1)),FIND(".",(" "&amp;LEFT(SUBSTITUTE(A42,CHAR(13),""),FIND(CHAR(10),SUBSTITUTE(A42,CHAR(13),"")&amp;CHAR(10))-1))))," ",""))))+1)),""))</f>
        <v/>
      </c>
    </row>
    <row r="43" customFormat="false" ht="30" hidden="false" customHeight="true" outlineLevel="0" collapsed="false">
      <c r="A43" s="11" t="str">
        <f aca="false">IFERROR(INDEX(Pegar!$A$3:$A$1002,MATCH(39,Pegar!$B$3:$B$1002,0))&amp;IF(LEFT(INDEX(Pegar!$A$3:$A$1003,MATCH(39,Pegar!$B$3:$B$1002,0)+1),5)="DESC=",CHAR(10)&amp;INDEX(Pegar!$A$3:$A$1003,MATCH(39,Pegar!$B$3:$B$1002,0)+1),""),"")</f>
        <v/>
      </c>
      <c r="B43" s="12" t="str">
        <f aca="false">IF(TRIM(A43)="","",IFERROR(MID(SUBSTITUTE(SUBSTITUTE(A43,CHAR(10)," "),CHAR(13)," "),FIND(" MT"," "&amp;SUBSTITUTE(SUBSTITUTE(A43,CHAR(10)," "),CHAR(13)," ")),FIND(" ",SUBSTITUTE(SUBSTITUTE(A43,CHAR(10)," "),CHAR(13)," ")&amp;" ",FIND(" MT"," "&amp;SUBSTITUTE(SUBSTITUTE(A43,CHAR(10)," "),CHAR(13)," ")))-FIND(" MT"," "&amp;SUBSTITUTE(SUBSTITUTE(A43,CHAR(10)," "),CHAR(13)," "))),"MT no encontrado"))</f>
        <v/>
      </c>
      <c r="C43" s="15" t="str">
        <f aca="false">IF(TRIM(A43)="","",IF(D43="",FALSE(),SUBSTITUTE(SUBSTITUTE(SUBSTITUTE(D43,".",""),"0",""),"-","")&lt;&gt;""))</f>
        <v/>
      </c>
      <c r="D43" s="14" t="str">
        <f aca="false">IF(TRIM(A43)="","",IFERROR(MID((" "&amp;LEFT(SUBSTITUTE(A43,CHAR(13),""),FIND(CHAR(10),SUBSTITUTE(A43,CHAR(13),"")&amp;CHAR(10))-1)),(FIND("~",SUBSTITUTE(LEFT((" "&amp;LEFT(SUBSTITUTE(A43,CHAR(13),""),FIND(CHAR(10),SUBSTITUTE(A43,CHAR(13),"")&amp;CHAR(10))-1)),FIND(".",(" "&amp;LEFT(SUBSTITUTE(A43,CHAR(13),""),FIND(CHAR(10),SUBSTITUTE(A43,CHAR(13),"")&amp;CHAR(10))-1))))," ","~",LEN(LEFT((" "&amp;LEFT(SUBSTITUTE(A43,CHAR(13),""),FIND(CHAR(10),SUBSTITUTE(A43,CHAR(13),"")&amp;CHAR(10))-1)),FIND(".",(" "&amp;LEFT(SUBSTITUTE(A43,CHAR(13),""),FIND(CHAR(10),SUBSTITUTE(A43,CHAR(13),"")&amp;CHAR(10))-1)))))-LEN(SUBSTITUTE(LEFT((" "&amp;LEFT(SUBSTITUTE(A43,CHAR(13),""),FIND(CHAR(10),SUBSTITUTE(A43,CHAR(13),"")&amp;CHAR(10))-1)),FIND(".",(" "&amp;LEFT(SUBSTITUTE(A43,CHAR(13),""),FIND(CHAR(10),SUBSTITUTE(A43,CHAR(13),"")&amp;CHAR(10))-1))))," ",""))))+1),FIND(" ",(" "&amp;LEFT(SUBSTITUTE(A43,CHAR(13),""),FIND(CHAR(10),SUBSTITUTE(A43,CHAR(13),"")&amp;CHAR(10))-1))&amp;" ",FIND(".",(" "&amp;LEFT(SUBSTITUTE(A43,CHAR(13),""),FIND(CHAR(10),SUBSTITUTE(A43,CHAR(13),"")&amp;CHAR(10))-1))))-(FIND("~",SUBSTITUTE(LEFT((" "&amp;LEFT(SUBSTITUTE(A43,CHAR(13),""),FIND(CHAR(10),SUBSTITUTE(A43,CHAR(13),"")&amp;CHAR(10))-1)),FIND(".",(" "&amp;LEFT(SUBSTITUTE(A43,CHAR(13),""),FIND(CHAR(10),SUBSTITUTE(A43,CHAR(13),"")&amp;CHAR(10))-1))))," ","~",LEN(LEFT((" "&amp;LEFT(SUBSTITUTE(A43,CHAR(13),""),FIND(CHAR(10),SUBSTITUTE(A43,CHAR(13),"")&amp;CHAR(10))-1)),FIND(".",(" "&amp;LEFT(SUBSTITUTE(A43,CHAR(13),""),FIND(CHAR(10),SUBSTITUTE(A43,CHAR(13),"")&amp;CHAR(10))-1)))))-LEN(SUBSTITUTE(LEFT((" "&amp;LEFT(SUBSTITUTE(A43,CHAR(13),""),FIND(CHAR(10),SUBSTITUTE(A43,CHAR(13),"")&amp;CHAR(10))-1)),FIND(".",(" "&amp;LEFT(SUBSTITUTE(A43,CHAR(13),""),FIND(CHAR(10),SUBSTITUTE(A43,CHAR(13),"")&amp;CHAR(10))-1))))," ",""))))+1)),""))</f>
        <v/>
      </c>
    </row>
    <row r="44" customFormat="false" ht="30" hidden="false" customHeight="true" outlineLevel="0" collapsed="false">
      <c r="A44" s="11" t="str">
        <f aca="false">IFERROR(INDEX(Pegar!$A$3:$A$1002,MATCH(40,Pegar!$B$3:$B$1002,0))&amp;IF(LEFT(INDEX(Pegar!$A$3:$A$1003,MATCH(40,Pegar!$B$3:$B$1002,0)+1),5)="DESC=",CHAR(10)&amp;INDEX(Pegar!$A$3:$A$1003,MATCH(40,Pegar!$B$3:$B$1002,0)+1),""),"")</f>
        <v/>
      </c>
      <c r="B44" s="12" t="str">
        <f aca="false">IF(TRIM(A44)="","",IFERROR(MID(SUBSTITUTE(SUBSTITUTE(A44,CHAR(10)," "),CHAR(13)," "),FIND(" MT"," "&amp;SUBSTITUTE(SUBSTITUTE(A44,CHAR(10)," "),CHAR(13)," ")),FIND(" ",SUBSTITUTE(SUBSTITUTE(A44,CHAR(10)," "),CHAR(13)," ")&amp;" ",FIND(" MT"," "&amp;SUBSTITUTE(SUBSTITUTE(A44,CHAR(10)," "),CHAR(13)," ")))-FIND(" MT"," "&amp;SUBSTITUTE(SUBSTITUTE(A44,CHAR(10)," "),CHAR(13)," "))),"MT no encontrado"))</f>
        <v/>
      </c>
      <c r="C44" s="15" t="str">
        <f aca="false">IF(TRIM(A44)="","",IF(D44="",FALSE(),SUBSTITUTE(SUBSTITUTE(SUBSTITUTE(D44,".",""),"0",""),"-","")&lt;&gt;""))</f>
        <v/>
      </c>
      <c r="D44" s="14" t="str">
        <f aca="false">IF(TRIM(A44)="","",IFERROR(MID((" "&amp;LEFT(SUBSTITUTE(A44,CHAR(13),""),FIND(CHAR(10),SUBSTITUTE(A44,CHAR(13),"")&amp;CHAR(10))-1)),(FIND("~",SUBSTITUTE(LEFT((" "&amp;LEFT(SUBSTITUTE(A44,CHAR(13),""),FIND(CHAR(10),SUBSTITUTE(A44,CHAR(13),"")&amp;CHAR(10))-1)),FIND(".",(" "&amp;LEFT(SUBSTITUTE(A44,CHAR(13),""),FIND(CHAR(10),SUBSTITUTE(A44,CHAR(13),"")&amp;CHAR(10))-1))))," ","~",LEN(LEFT((" "&amp;LEFT(SUBSTITUTE(A44,CHAR(13),""),FIND(CHAR(10),SUBSTITUTE(A44,CHAR(13),"")&amp;CHAR(10))-1)),FIND(".",(" "&amp;LEFT(SUBSTITUTE(A44,CHAR(13),""),FIND(CHAR(10),SUBSTITUTE(A44,CHAR(13),"")&amp;CHAR(10))-1)))))-LEN(SUBSTITUTE(LEFT((" "&amp;LEFT(SUBSTITUTE(A44,CHAR(13),""),FIND(CHAR(10),SUBSTITUTE(A44,CHAR(13),"")&amp;CHAR(10))-1)),FIND(".",(" "&amp;LEFT(SUBSTITUTE(A44,CHAR(13),""),FIND(CHAR(10),SUBSTITUTE(A44,CHAR(13),"")&amp;CHAR(10))-1))))," ",""))))+1),FIND(" ",(" "&amp;LEFT(SUBSTITUTE(A44,CHAR(13),""),FIND(CHAR(10),SUBSTITUTE(A44,CHAR(13),"")&amp;CHAR(10))-1))&amp;" ",FIND(".",(" "&amp;LEFT(SUBSTITUTE(A44,CHAR(13),""),FIND(CHAR(10),SUBSTITUTE(A44,CHAR(13),"")&amp;CHAR(10))-1))))-(FIND("~",SUBSTITUTE(LEFT((" "&amp;LEFT(SUBSTITUTE(A44,CHAR(13),""),FIND(CHAR(10),SUBSTITUTE(A44,CHAR(13),"")&amp;CHAR(10))-1)),FIND(".",(" "&amp;LEFT(SUBSTITUTE(A44,CHAR(13),""),FIND(CHAR(10),SUBSTITUTE(A44,CHAR(13),"")&amp;CHAR(10))-1))))," ","~",LEN(LEFT((" "&amp;LEFT(SUBSTITUTE(A44,CHAR(13),""),FIND(CHAR(10),SUBSTITUTE(A44,CHAR(13),"")&amp;CHAR(10))-1)),FIND(".",(" "&amp;LEFT(SUBSTITUTE(A44,CHAR(13),""),FIND(CHAR(10),SUBSTITUTE(A44,CHAR(13),"")&amp;CHAR(10))-1)))))-LEN(SUBSTITUTE(LEFT((" "&amp;LEFT(SUBSTITUTE(A44,CHAR(13),""),FIND(CHAR(10),SUBSTITUTE(A44,CHAR(13),"")&amp;CHAR(10))-1)),FIND(".",(" "&amp;LEFT(SUBSTITUTE(A44,CHAR(13),""),FIND(CHAR(10),SUBSTITUTE(A44,CHAR(13),"")&amp;CHAR(10))-1))))," ",""))))+1)),""))</f>
        <v/>
      </c>
    </row>
    <row r="45" customFormat="false" ht="30" hidden="false" customHeight="true" outlineLevel="0" collapsed="false">
      <c r="A45" s="11" t="str">
        <f aca="false">IFERROR(INDEX(Pegar!$A$3:$A$1002,MATCH(41,Pegar!$B$3:$B$1002,0))&amp;IF(LEFT(INDEX(Pegar!$A$3:$A$1003,MATCH(41,Pegar!$B$3:$B$1002,0)+1),5)="DESC=",CHAR(10)&amp;INDEX(Pegar!$A$3:$A$1003,MATCH(41,Pegar!$B$3:$B$1002,0)+1),""),"")</f>
        <v/>
      </c>
      <c r="B45" s="12" t="str">
        <f aca="false">IF(TRIM(A45)="","",IFERROR(MID(SUBSTITUTE(SUBSTITUTE(A45,CHAR(10)," "),CHAR(13)," "),FIND(" MT"," "&amp;SUBSTITUTE(SUBSTITUTE(A45,CHAR(10)," "),CHAR(13)," ")),FIND(" ",SUBSTITUTE(SUBSTITUTE(A45,CHAR(10)," "),CHAR(13)," ")&amp;" ",FIND(" MT"," "&amp;SUBSTITUTE(SUBSTITUTE(A45,CHAR(10)," "),CHAR(13)," ")))-FIND(" MT"," "&amp;SUBSTITUTE(SUBSTITUTE(A45,CHAR(10)," "),CHAR(13)," "))),"MT no encontrado"))</f>
        <v/>
      </c>
      <c r="C45" s="15" t="str">
        <f aca="false">IF(TRIM(A45)="","",IF(D45="",FALSE(),SUBSTITUTE(SUBSTITUTE(SUBSTITUTE(D45,".",""),"0",""),"-","")&lt;&gt;""))</f>
        <v/>
      </c>
      <c r="D45" s="14" t="str">
        <f aca="false">IF(TRIM(A45)="","",IFERROR(MID((" "&amp;LEFT(SUBSTITUTE(A45,CHAR(13),""),FIND(CHAR(10),SUBSTITUTE(A45,CHAR(13),"")&amp;CHAR(10))-1)),(FIND("~",SUBSTITUTE(LEFT((" "&amp;LEFT(SUBSTITUTE(A45,CHAR(13),""),FIND(CHAR(10),SUBSTITUTE(A45,CHAR(13),"")&amp;CHAR(10))-1)),FIND(".",(" "&amp;LEFT(SUBSTITUTE(A45,CHAR(13),""),FIND(CHAR(10),SUBSTITUTE(A45,CHAR(13),"")&amp;CHAR(10))-1))))," ","~",LEN(LEFT((" "&amp;LEFT(SUBSTITUTE(A45,CHAR(13),""),FIND(CHAR(10),SUBSTITUTE(A45,CHAR(13),"")&amp;CHAR(10))-1)),FIND(".",(" "&amp;LEFT(SUBSTITUTE(A45,CHAR(13),""),FIND(CHAR(10),SUBSTITUTE(A45,CHAR(13),"")&amp;CHAR(10))-1)))))-LEN(SUBSTITUTE(LEFT((" "&amp;LEFT(SUBSTITUTE(A45,CHAR(13),""),FIND(CHAR(10),SUBSTITUTE(A45,CHAR(13),"")&amp;CHAR(10))-1)),FIND(".",(" "&amp;LEFT(SUBSTITUTE(A45,CHAR(13),""),FIND(CHAR(10),SUBSTITUTE(A45,CHAR(13),"")&amp;CHAR(10))-1))))," ",""))))+1),FIND(" ",(" "&amp;LEFT(SUBSTITUTE(A45,CHAR(13),""),FIND(CHAR(10),SUBSTITUTE(A45,CHAR(13),"")&amp;CHAR(10))-1))&amp;" ",FIND(".",(" "&amp;LEFT(SUBSTITUTE(A45,CHAR(13),""),FIND(CHAR(10),SUBSTITUTE(A45,CHAR(13),"")&amp;CHAR(10))-1))))-(FIND("~",SUBSTITUTE(LEFT((" "&amp;LEFT(SUBSTITUTE(A45,CHAR(13),""),FIND(CHAR(10),SUBSTITUTE(A45,CHAR(13),"")&amp;CHAR(10))-1)),FIND(".",(" "&amp;LEFT(SUBSTITUTE(A45,CHAR(13),""),FIND(CHAR(10),SUBSTITUTE(A45,CHAR(13),"")&amp;CHAR(10))-1))))," ","~",LEN(LEFT((" "&amp;LEFT(SUBSTITUTE(A45,CHAR(13),""),FIND(CHAR(10),SUBSTITUTE(A45,CHAR(13),"")&amp;CHAR(10))-1)),FIND(".",(" "&amp;LEFT(SUBSTITUTE(A45,CHAR(13),""),FIND(CHAR(10),SUBSTITUTE(A45,CHAR(13),"")&amp;CHAR(10))-1)))))-LEN(SUBSTITUTE(LEFT((" "&amp;LEFT(SUBSTITUTE(A45,CHAR(13),""),FIND(CHAR(10),SUBSTITUTE(A45,CHAR(13),"")&amp;CHAR(10))-1)),FIND(".",(" "&amp;LEFT(SUBSTITUTE(A45,CHAR(13),""),FIND(CHAR(10),SUBSTITUTE(A45,CHAR(13),"")&amp;CHAR(10))-1))))," ",""))))+1)),""))</f>
        <v/>
      </c>
    </row>
    <row r="46" customFormat="false" ht="30" hidden="false" customHeight="true" outlineLevel="0" collapsed="false">
      <c r="A46" s="11" t="str">
        <f aca="false">IFERROR(INDEX(Pegar!$A$3:$A$1002,MATCH(42,Pegar!$B$3:$B$1002,0))&amp;IF(LEFT(INDEX(Pegar!$A$3:$A$1003,MATCH(42,Pegar!$B$3:$B$1002,0)+1),5)="DESC=",CHAR(10)&amp;INDEX(Pegar!$A$3:$A$1003,MATCH(42,Pegar!$B$3:$B$1002,0)+1),""),"")</f>
        <v/>
      </c>
      <c r="B46" s="12" t="str">
        <f aca="false">IF(TRIM(A46)="","",IFERROR(MID(SUBSTITUTE(SUBSTITUTE(A46,CHAR(10)," "),CHAR(13)," "),FIND(" MT"," "&amp;SUBSTITUTE(SUBSTITUTE(A46,CHAR(10)," "),CHAR(13)," ")),FIND(" ",SUBSTITUTE(SUBSTITUTE(A46,CHAR(10)," "),CHAR(13)," ")&amp;" ",FIND(" MT"," "&amp;SUBSTITUTE(SUBSTITUTE(A46,CHAR(10)," "),CHAR(13)," ")))-FIND(" MT"," "&amp;SUBSTITUTE(SUBSTITUTE(A46,CHAR(10)," "),CHAR(13)," "))),"MT no encontrado"))</f>
        <v/>
      </c>
      <c r="C46" s="15" t="str">
        <f aca="false">IF(TRIM(A46)="","",IF(D46="",FALSE(),SUBSTITUTE(SUBSTITUTE(SUBSTITUTE(D46,".",""),"0",""),"-","")&lt;&gt;""))</f>
        <v/>
      </c>
      <c r="D46" s="14" t="str">
        <f aca="false">IF(TRIM(A46)="","",IFERROR(MID((" "&amp;LEFT(SUBSTITUTE(A46,CHAR(13),""),FIND(CHAR(10),SUBSTITUTE(A46,CHAR(13),"")&amp;CHAR(10))-1)),(FIND("~",SUBSTITUTE(LEFT((" "&amp;LEFT(SUBSTITUTE(A46,CHAR(13),""),FIND(CHAR(10),SUBSTITUTE(A46,CHAR(13),"")&amp;CHAR(10))-1)),FIND(".",(" "&amp;LEFT(SUBSTITUTE(A46,CHAR(13),""),FIND(CHAR(10),SUBSTITUTE(A46,CHAR(13),"")&amp;CHAR(10))-1))))," ","~",LEN(LEFT((" "&amp;LEFT(SUBSTITUTE(A46,CHAR(13),""),FIND(CHAR(10),SUBSTITUTE(A46,CHAR(13),"")&amp;CHAR(10))-1)),FIND(".",(" "&amp;LEFT(SUBSTITUTE(A46,CHAR(13),""),FIND(CHAR(10),SUBSTITUTE(A46,CHAR(13),"")&amp;CHAR(10))-1)))))-LEN(SUBSTITUTE(LEFT((" "&amp;LEFT(SUBSTITUTE(A46,CHAR(13),""),FIND(CHAR(10),SUBSTITUTE(A46,CHAR(13),"")&amp;CHAR(10))-1)),FIND(".",(" "&amp;LEFT(SUBSTITUTE(A46,CHAR(13),""),FIND(CHAR(10),SUBSTITUTE(A46,CHAR(13),"")&amp;CHAR(10))-1))))," ",""))))+1),FIND(" ",(" "&amp;LEFT(SUBSTITUTE(A46,CHAR(13),""),FIND(CHAR(10),SUBSTITUTE(A46,CHAR(13),"")&amp;CHAR(10))-1))&amp;" ",FIND(".",(" "&amp;LEFT(SUBSTITUTE(A46,CHAR(13),""),FIND(CHAR(10),SUBSTITUTE(A46,CHAR(13),"")&amp;CHAR(10))-1))))-(FIND("~",SUBSTITUTE(LEFT((" "&amp;LEFT(SUBSTITUTE(A46,CHAR(13),""),FIND(CHAR(10),SUBSTITUTE(A46,CHAR(13),"")&amp;CHAR(10))-1)),FIND(".",(" "&amp;LEFT(SUBSTITUTE(A46,CHAR(13),""),FIND(CHAR(10),SUBSTITUTE(A46,CHAR(13),"")&amp;CHAR(10))-1))))," ","~",LEN(LEFT((" "&amp;LEFT(SUBSTITUTE(A46,CHAR(13),""),FIND(CHAR(10),SUBSTITUTE(A46,CHAR(13),"")&amp;CHAR(10))-1)),FIND(".",(" "&amp;LEFT(SUBSTITUTE(A46,CHAR(13),""),FIND(CHAR(10),SUBSTITUTE(A46,CHAR(13),"")&amp;CHAR(10))-1)))))-LEN(SUBSTITUTE(LEFT((" "&amp;LEFT(SUBSTITUTE(A46,CHAR(13),""),FIND(CHAR(10),SUBSTITUTE(A46,CHAR(13),"")&amp;CHAR(10))-1)),FIND(".",(" "&amp;LEFT(SUBSTITUTE(A46,CHAR(13),""),FIND(CHAR(10),SUBSTITUTE(A46,CHAR(13),"")&amp;CHAR(10))-1))))," ",""))))+1)),""))</f>
        <v/>
      </c>
    </row>
    <row r="47" customFormat="false" ht="30" hidden="false" customHeight="true" outlineLevel="0" collapsed="false">
      <c r="A47" s="11" t="str">
        <f aca="false">IFERROR(INDEX(Pegar!$A$3:$A$1002,MATCH(43,Pegar!$B$3:$B$1002,0))&amp;IF(LEFT(INDEX(Pegar!$A$3:$A$1003,MATCH(43,Pegar!$B$3:$B$1002,0)+1),5)="DESC=",CHAR(10)&amp;INDEX(Pegar!$A$3:$A$1003,MATCH(43,Pegar!$B$3:$B$1002,0)+1),""),"")</f>
        <v/>
      </c>
      <c r="B47" s="12" t="str">
        <f aca="false">IF(TRIM(A47)="","",IFERROR(MID(SUBSTITUTE(SUBSTITUTE(A47,CHAR(10)," "),CHAR(13)," "),FIND(" MT"," "&amp;SUBSTITUTE(SUBSTITUTE(A47,CHAR(10)," "),CHAR(13)," ")),FIND(" ",SUBSTITUTE(SUBSTITUTE(A47,CHAR(10)," "),CHAR(13)," ")&amp;" ",FIND(" MT"," "&amp;SUBSTITUTE(SUBSTITUTE(A47,CHAR(10)," "),CHAR(13)," ")))-FIND(" MT"," "&amp;SUBSTITUTE(SUBSTITUTE(A47,CHAR(10)," "),CHAR(13)," "))),"MT no encontrado"))</f>
        <v/>
      </c>
      <c r="C47" s="15" t="str">
        <f aca="false">IF(TRIM(A47)="","",IF(D47="",FALSE(),SUBSTITUTE(SUBSTITUTE(SUBSTITUTE(D47,".",""),"0",""),"-","")&lt;&gt;""))</f>
        <v/>
      </c>
      <c r="D47" s="14" t="str">
        <f aca="false">IF(TRIM(A47)="","",IFERROR(MID((" "&amp;LEFT(SUBSTITUTE(A47,CHAR(13),""),FIND(CHAR(10),SUBSTITUTE(A47,CHAR(13),"")&amp;CHAR(10))-1)),(FIND("~",SUBSTITUTE(LEFT((" "&amp;LEFT(SUBSTITUTE(A47,CHAR(13),""),FIND(CHAR(10),SUBSTITUTE(A47,CHAR(13),"")&amp;CHAR(10))-1)),FIND(".",(" "&amp;LEFT(SUBSTITUTE(A47,CHAR(13),""),FIND(CHAR(10),SUBSTITUTE(A47,CHAR(13),"")&amp;CHAR(10))-1))))," ","~",LEN(LEFT((" "&amp;LEFT(SUBSTITUTE(A47,CHAR(13),""),FIND(CHAR(10),SUBSTITUTE(A47,CHAR(13),"")&amp;CHAR(10))-1)),FIND(".",(" "&amp;LEFT(SUBSTITUTE(A47,CHAR(13),""),FIND(CHAR(10),SUBSTITUTE(A47,CHAR(13),"")&amp;CHAR(10))-1)))))-LEN(SUBSTITUTE(LEFT((" "&amp;LEFT(SUBSTITUTE(A47,CHAR(13),""),FIND(CHAR(10),SUBSTITUTE(A47,CHAR(13),"")&amp;CHAR(10))-1)),FIND(".",(" "&amp;LEFT(SUBSTITUTE(A47,CHAR(13),""),FIND(CHAR(10),SUBSTITUTE(A47,CHAR(13),"")&amp;CHAR(10))-1))))," ",""))))+1),FIND(" ",(" "&amp;LEFT(SUBSTITUTE(A47,CHAR(13),""),FIND(CHAR(10),SUBSTITUTE(A47,CHAR(13),"")&amp;CHAR(10))-1))&amp;" ",FIND(".",(" "&amp;LEFT(SUBSTITUTE(A47,CHAR(13),""),FIND(CHAR(10),SUBSTITUTE(A47,CHAR(13),"")&amp;CHAR(10))-1))))-(FIND("~",SUBSTITUTE(LEFT((" "&amp;LEFT(SUBSTITUTE(A47,CHAR(13),""),FIND(CHAR(10),SUBSTITUTE(A47,CHAR(13),"")&amp;CHAR(10))-1)),FIND(".",(" "&amp;LEFT(SUBSTITUTE(A47,CHAR(13),""),FIND(CHAR(10),SUBSTITUTE(A47,CHAR(13),"")&amp;CHAR(10))-1))))," ","~",LEN(LEFT((" "&amp;LEFT(SUBSTITUTE(A47,CHAR(13),""),FIND(CHAR(10),SUBSTITUTE(A47,CHAR(13),"")&amp;CHAR(10))-1)),FIND(".",(" "&amp;LEFT(SUBSTITUTE(A47,CHAR(13),""),FIND(CHAR(10),SUBSTITUTE(A47,CHAR(13),"")&amp;CHAR(10))-1)))))-LEN(SUBSTITUTE(LEFT((" "&amp;LEFT(SUBSTITUTE(A47,CHAR(13),""),FIND(CHAR(10),SUBSTITUTE(A47,CHAR(13),"")&amp;CHAR(10))-1)),FIND(".",(" "&amp;LEFT(SUBSTITUTE(A47,CHAR(13),""),FIND(CHAR(10),SUBSTITUTE(A47,CHAR(13),"")&amp;CHAR(10))-1))))," ",""))))+1)),""))</f>
        <v/>
      </c>
    </row>
    <row r="48" customFormat="false" ht="30" hidden="false" customHeight="true" outlineLevel="0" collapsed="false">
      <c r="A48" s="11" t="str">
        <f aca="false">IFERROR(INDEX(Pegar!$A$3:$A$1002,MATCH(44,Pegar!$B$3:$B$1002,0))&amp;IF(LEFT(INDEX(Pegar!$A$3:$A$1003,MATCH(44,Pegar!$B$3:$B$1002,0)+1),5)="DESC=",CHAR(10)&amp;INDEX(Pegar!$A$3:$A$1003,MATCH(44,Pegar!$B$3:$B$1002,0)+1),""),"")</f>
        <v/>
      </c>
      <c r="B48" s="12" t="str">
        <f aca="false">IF(TRIM(A48)="","",IFERROR(MID(SUBSTITUTE(SUBSTITUTE(A48,CHAR(10)," "),CHAR(13)," "),FIND(" MT"," "&amp;SUBSTITUTE(SUBSTITUTE(A48,CHAR(10)," "),CHAR(13)," ")),FIND(" ",SUBSTITUTE(SUBSTITUTE(A48,CHAR(10)," "),CHAR(13)," ")&amp;" ",FIND(" MT"," "&amp;SUBSTITUTE(SUBSTITUTE(A48,CHAR(10)," "),CHAR(13)," ")))-FIND(" MT"," "&amp;SUBSTITUTE(SUBSTITUTE(A48,CHAR(10)," "),CHAR(13)," "))),"MT no encontrado"))</f>
        <v/>
      </c>
      <c r="C48" s="15" t="str">
        <f aca="false">IF(TRIM(A48)="","",IF(D48="",FALSE(),SUBSTITUTE(SUBSTITUTE(SUBSTITUTE(D48,".",""),"0",""),"-","")&lt;&gt;""))</f>
        <v/>
      </c>
      <c r="D48" s="14" t="str">
        <f aca="false">IF(TRIM(A48)="","",IFERROR(MID((" "&amp;LEFT(SUBSTITUTE(A48,CHAR(13),""),FIND(CHAR(10),SUBSTITUTE(A48,CHAR(13),"")&amp;CHAR(10))-1)),(FIND("~",SUBSTITUTE(LEFT((" "&amp;LEFT(SUBSTITUTE(A48,CHAR(13),""),FIND(CHAR(10),SUBSTITUTE(A48,CHAR(13),"")&amp;CHAR(10))-1)),FIND(".",(" "&amp;LEFT(SUBSTITUTE(A48,CHAR(13),""),FIND(CHAR(10),SUBSTITUTE(A48,CHAR(13),"")&amp;CHAR(10))-1))))," ","~",LEN(LEFT((" "&amp;LEFT(SUBSTITUTE(A48,CHAR(13),""),FIND(CHAR(10),SUBSTITUTE(A48,CHAR(13),"")&amp;CHAR(10))-1)),FIND(".",(" "&amp;LEFT(SUBSTITUTE(A48,CHAR(13),""),FIND(CHAR(10),SUBSTITUTE(A48,CHAR(13),"")&amp;CHAR(10))-1)))))-LEN(SUBSTITUTE(LEFT((" "&amp;LEFT(SUBSTITUTE(A48,CHAR(13),""),FIND(CHAR(10),SUBSTITUTE(A48,CHAR(13),"")&amp;CHAR(10))-1)),FIND(".",(" "&amp;LEFT(SUBSTITUTE(A48,CHAR(13),""),FIND(CHAR(10),SUBSTITUTE(A48,CHAR(13),"")&amp;CHAR(10))-1))))," ",""))))+1),FIND(" ",(" "&amp;LEFT(SUBSTITUTE(A48,CHAR(13),""),FIND(CHAR(10),SUBSTITUTE(A48,CHAR(13),"")&amp;CHAR(10))-1))&amp;" ",FIND(".",(" "&amp;LEFT(SUBSTITUTE(A48,CHAR(13),""),FIND(CHAR(10),SUBSTITUTE(A48,CHAR(13),"")&amp;CHAR(10))-1))))-(FIND("~",SUBSTITUTE(LEFT((" "&amp;LEFT(SUBSTITUTE(A48,CHAR(13),""),FIND(CHAR(10),SUBSTITUTE(A48,CHAR(13),"")&amp;CHAR(10))-1)),FIND(".",(" "&amp;LEFT(SUBSTITUTE(A48,CHAR(13),""),FIND(CHAR(10),SUBSTITUTE(A48,CHAR(13),"")&amp;CHAR(10))-1))))," ","~",LEN(LEFT((" "&amp;LEFT(SUBSTITUTE(A48,CHAR(13),""),FIND(CHAR(10),SUBSTITUTE(A48,CHAR(13),"")&amp;CHAR(10))-1)),FIND(".",(" "&amp;LEFT(SUBSTITUTE(A48,CHAR(13),""),FIND(CHAR(10),SUBSTITUTE(A48,CHAR(13),"")&amp;CHAR(10))-1)))))-LEN(SUBSTITUTE(LEFT((" "&amp;LEFT(SUBSTITUTE(A48,CHAR(13),""),FIND(CHAR(10),SUBSTITUTE(A48,CHAR(13),"")&amp;CHAR(10))-1)),FIND(".",(" "&amp;LEFT(SUBSTITUTE(A48,CHAR(13),""),FIND(CHAR(10),SUBSTITUTE(A48,CHAR(13),"")&amp;CHAR(10))-1))))," ",""))))+1)),""))</f>
        <v/>
      </c>
    </row>
    <row r="49" customFormat="false" ht="30" hidden="false" customHeight="true" outlineLevel="0" collapsed="false">
      <c r="A49" s="11" t="str">
        <f aca="false">IFERROR(INDEX(Pegar!$A$3:$A$1002,MATCH(45,Pegar!$B$3:$B$1002,0))&amp;IF(LEFT(INDEX(Pegar!$A$3:$A$1003,MATCH(45,Pegar!$B$3:$B$1002,0)+1),5)="DESC=",CHAR(10)&amp;INDEX(Pegar!$A$3:$A$1003,MATCH(45,Pegar!$B$3:$B$1002,0)+1),""),"")</f>
        <v/>
      </c>
      <c r="B49" s="12" t="str">
        <f aca="false">IF(TRIM(A49)="","",IFERROR(MID(SUBSTITUTE(SUBSTITUTE(A49,CHAR(10)," "),CHAR(13)," "),FIND(" MT"," "&amp;SUBSTITUTE(SUBSTITUTE(A49,CHAR(10)," "),CHAR(13)," ")),FIND(" ",SUBSTITUTE(SUBSTITUTE(A49,CHAR(10)," "),CHAR(13)," ")&amp;" ",FIND(" MT"," "&amp;SUBSTITUTE(SUBSTITUTE(A49,CHAR(10)," "),CHAR(13)," ")))-FIND(" MT"," "&amp;SUBSTITUTE(SUBSTITUTE(A49,CHAR(10)," "),CHAR(13)," "))),"MT no encontrado"))</f>
        <v/>
      </c>
      <c r="C49" s="15" t="str">
        <f aca="false">IF(TRIM(A49)="","",IF(D49="",FALSE(),SUBSTITUTE(SUBSTITUTE(SUBSTITUTE(D49,".",""),"0",""),"-","")&lt;&gt;""))</f>
        <v/>
      </c>
      <c r="D49" s="14" t="str">
        <f aca="false">IF(TRIM(A49)="","",IFERROR(MID((" "&amp;LEFT(SUBSTITUTE(A49,CHAR(13),""),FIND(CHAR(10),SUBSTITUTE(A49,CHAR(13),"")&amp;CHAR(10))-1)),(FIND("~",SUBSTITUTE(LEFT((" "&amp;LEFT(SUBSTITUTE(A49,CHAR(13),""),FIND(CHAR(10),SUBSTITUTE(A49,CHAR(13),"")&amp;CHAR(10))-1)),FIND(".",(" "&amp;LEFT(SUBSTITUTE(A49,CHAR(13),""),FIND(CHAR(10),SUBSTITUTE(A49,CHAR(13),"")&amp;CHAR(10))-1))))," ","~",LEN(LEFT((" "&amp;LEFT(SUBSTITUTE(A49,CHAR(13),""),FIND(CHAR(10),SUBSTITUTE(A49,CHAR(13),"")&amp;CHAR(10))-1)),FIND(".",(" "&amp;LEFT(SUBSTITUTE(A49,CHAR(13),""),FIND(CHAR(10),SUBSTITUTE(A49,CHAR(13),"")&amp;CHAR(10))-1)))))-LEN(SUBSTITUTE(LEFT((" "&amp;LEFT(SUBSTITUTE(A49,CHAR(13),""),FIND(CHAR(10),SUBSTITUTE(A49,CHAR(13),"")&amp;CHAR(10))-1)),FIND(".",(" "&amp;LEFT(SUBSTITUTE(A49,CHAR(13),""),FIND(CHAR(10),SUBSTITUTE(A49,CHAR(13),"")&amp;CHAR(10))-1))))," ",""))))+1),FIND(" ",(" "&amp;LEFT(SUBSTITUTE(A49,CHAR(13),""),FIND(CHAR(10),SUBSTITUTE(A49,CHAR(13),"")&amp;CHAR(10))-1))&amp;" ",FIND(".",(" "&amp;LEFT(SUBSTITUTE(A49,CHAR(13),""),FIND(CHAR(10),SUBSTITUTE(A49,CHAR(13),"")&amp;CHAR(10))-1))))-(FIND("~",SUBSTITUTE(LEFT((" "&amp;LEFT(SUBSTITUTE(A49,CHAR(13),""),FIND(CHAR(10),SUBSTITUTE(A49,CHAR(13),"")&amp;CHAR(10))-1)),FIND(".",(" "&amp;LEFT(SUBSTITUTE(A49,CHAR(13),""),FIND(CHAR(10),SUBSTITUTE(A49,CHAR(13),"")&amp;CHAR(10))-1))))," ","~",LEN(LEFT((" "&amp;LEFT(SUBSTITUTE(A49,CHAR(13),""),FIND(CHAR(10),SUBSTITUTE(A49,CHAR(13),"")&amp;CHAR(10))-1)),FIND(".",(" "&amp;LEFT(SUBSTITUTE(A49,CHAR(13),""),FIND(CHAR(10),SUBSTITUTE(A49,CHAR(13),"")&amp;CHAR(10))-1)))))-LEN(SUBSTITUTE(LEFT((" "&amp;LEFT(SUBSTITUTE(A49,CHAR(13),""),FIND(CHAR(10),SUBSTITUTE(A49,CHAR(13),"")&amp;CHAR(10))-1)),FIND(".",(" "&amp;LEFT(SUBSTITUTE(A49,CHAR(13),""),FIND(CHAR(10),SUBSTITUTE(A49,CHAR(13),"")&amp;CHAR(10))-1))))," ",""))))+1)),""))</f>
        <v/>
      </c>
    </row>
    <row r="50" customFormat="false" ht="30" hidden="false" customHeight="true" outlineLevel="0" collapsed="false">
      <c r="A50" s="11" t="str">
        <f aca="false">IFERROR(INDEX(Pegar!$A$3:$A$1002,MATCH(46,Pegar!$B$3:$B$1002,0))&amp;IF(LEFT(INDEX(Pegar!$A$3:$A$1003,MATCH(46,Pegar!$B$3:$B$1002,0)+1),5)="DESC=",CHAR(10)&amp;INDEX(Pegar!$A$3:$A$1003,MATCH(46,Pegar!$B$3:$B$1002,0)+1),""),"")</f>
        <v/>
      </c>
      <c r="B50" s="12" t="str">
        <f aca="false">IF(TRIM(A50)="","",IFERROR(MID(SUBSTITUTE(SUBSTITUTE(A50,CHAR(10)," "),CHAR(13)," "),FIND(" MT"," "&amp;SUBSTITUTE(SUBSTITUTE(A50,CHAR(10)," "),CHAR(13)," ")),FIND(" ",SUBSTITUTE(SUBSTITUTE(A50,CHAR(10)," "),CHAR(13)," ")&amp;" ",FIND(" MT"," "&amp;SUBSTITUTE(SUBSTITUTE(A50,CHAR(10)," "),CHAR(13)," ")))-FIND(" MT"," "&amp;SUBSTITUTE(SUBSTITUTE(A50,CHAR(10)," "),CHAR(13)," "))),"MT no encontrado"))</f>
        <v/>
      </c>
      <c r="C50" s="15" t="str">
        <f aca="false">IF(TRIM(A50)="","",IF(D50="",FALSE(),SUBSTITUTE(SUBSTITUTE(SUBSTITUTE(D50,".",""),"0",""),"-","")&lt;&gt;""))</f>
        <v/>
      </c>
      <c r="D50" s="14" t="str">
        <f aca="false">IF(TRIM(A50)="","",IFERROR(MID((" "&amp;LEFT(SUBSTITUTE(A50,CHAR(13),""),FIND(CHAR(10),SUBSTITUTE(A50,CHAR(13),"")&amp;CHAR(10))-1)),(FIND("~",SUBSTITUTE(LEFT((" "&amp;LEFT(SUBSTITUTE(A50,CHAR(13),""),FIND(CHAR(10),SUBSTITUTE(A50,CHAR(13),"")&amp;CHAR(10))-1)),FIND(".",(" "&amp;LEFT(SUBSTITUTE(A50,CHAR(13),""),FIND(CHAR(10),SUBSTITUTE(A50,CHAR(13),"")&amp;CHAR(10))-1))))," ","~",LEN(LEFT((" "&amp;LEFT(SUBSTITUTE(A50,CHAR(13),""),FIND(CHAR(10),SUBSTITUTE(A50,CHAR(13),"")&amp;CHAR(10))-1)),FIND(".",(" "&amp;LEFT(SUBSTITUTE(A50,CHAR(13),""),FIND(CHAR(10),SUBSTITUTE(A50,CHAR(13),"")&amp;CHAR(10))-1)))))-LEN(SUBSTITUTE(LEFT((" "&amp;LEFT(SUBSTITUTE(A50,CHAR(13),""),FIND(CHAR(10),SUBSTITUTE(A50,CHAR(13),"")&amp;CHAR(10))-1)),FIND(".",(" "&amp;LEFT(SUBSTITUTE(A50,CHAR(13),""),FIND(CHAR(10),SUBSTITUTE(A50,CHAR(13),"")&amp;CHAR(10))-1))))," ",""))))+1),FIND(" ",(" "&amp;LEFT(SUBSTITUTE(A50,CHAR(13),""),FIND(CHAR(10),SUBSTITUTE(A50,CHAR(13),"")&amp;CHAR(10))-1))&amp;" ",FIND(".",(" "&amp;LEFT(SUBSTITUTE(A50,CHAR(13),""),FIND(CHAR(10),SUBSTITUTE(A50,CHAR(13),"")&amp;CHAR(10))-1))))-(FIND("~",SUBSTITUTE(LEFT((" "&amp;LEFT(SUBSTITUTE(A50,CHAR(13),""),FIND(CHAR(10),SUBSTITUTE(A50,CHAR(13),"")&amp;CHAR(10))-1)),FIND(".",(" "&amp;LEFT(SUBSTITUTE(A50,CHAR(13),""),FIND(CHAR(10),SUBSTITUTE(A50,CHAR(13),"")&amp;CHAR(10))-1))))," ","~",LEN(LEFT((" "&amp;LEFT(SUBSTITUTE(A50,CHAR(13),""),FIND(CHAR(10),SUBSTITUTE(A50,CHAR(13),"")&amp;CHAR(10))-1)),FIND(".",(" "&amp;LEFT(SUBSTITUTE(A50,CHAR(13),""),FIND(CHAR(10),SUBSTITUTE(A50,CHAR(13),"")&amp;CHAR(10))-1)))))-LEN(SUBSTITUTE(LEFT((" "&amp;LEFT(SUBSTITUTE(A50,CHAR(13),""),FIND(CHAR(10),SUBSTITUTE(A50,CHAR(13),"")&amp;CHAR(10))-1)),FIND(".",(" "&amp;LEFT(SUBSTITUTE(A50,CHAR(13),""),FIND(CHAR(10),SUBSTITUTE(A50,CHAR(13),"")&amp;CHAR(10))-1))))," ",""))))+1)),""))</f>
        <v/>
      </c>
    </row>
    <row r="51" customFormat="false" ht="30" hidden="false" customHeight="true" outlineLevel="0" collapsed="false">
      <c r="A51" s="11" t="str">
        <f aca="false">IFERROR(INDEX(Pegar!$A$3:$A$1002,MATCH(47,Pegar!$B$3:$B$1002,0))&amp;IF(LEFT(INDEX(Pegar!$A$3:$A$1003,MATCH(47,Pegar!$B$3:$B$1002,0)+1),5)="DESC=",CHAR(10)&amp;INDEX(Pegar!$A$3:$A$1003,MATCH(47,Pegar!$B$3:$B$1002,0)+1),""),"")</f>
        <v/>
      </c>
      <c r="B51" s="12" t="str">
        <f aca="false">IF(TRIM(A51)="","",IFERROR(MID(SUBSTITUTE(SUBSTITUTE(A51,CHAR(10)," "),CHAR(13)," "),FIND(" MT"," "&amp;SUBSTITUTE(SUBSTITUTE(A51,CHAR(10)," "),CHAR(13)," ")),FIND(" ",SUBSTITUTE(SUBSTITUTE(A51,CHAR(10)," "),CHAR(13)," ")&amp;" ",FIND(" MT"," "&amp;SUBSTITUTE(SUBSTITUTE(A51,CHAR(10)," "),CHAR(13)," ")))-FIND(" MT"," "&amp;SUBSTITUTE(SUBSTITUTE(A51,CHAR(10)," "),CHAR(13)," "))),"MT no encontrado"))</f>
        <v/>
      </c>
      <c r="C51" s="15" t="str">
        <f aca="false">IF(TRIM(A51)="","",IF(D51="",FALSE(),SUBSTITUTE(SUBSTITUTE(SUBSTITUTE(D51,".",""),"0",""),"-","")&lt;&gt;""))</f>
        <v/>
      </c>
      <c r="D51" s="14" t="str">
        <f aca="false">IF(TRIM(A51)="","",IFERROR(MID((" "&amp;LEFT(SUBSTITUTE(A51,CHAR(13),""),FIND(CHAR(10),SUBSTITUTE(A51,CHAR(13),"")&amp;CHAR(10))-1)),(FIND("~",SUBSTITUTE(LEFT((" "&amp;LEFT(SUBSTITUTE(A51,CHAR(13),""),FIND(CHAR(10),SUBSTITUTE(A51,CHAR(13),"")&amp;CHAR(10))-1)),FIND(".",(" "&amp;LEFT(SUBSTITUTE(A51,CHAR(13),""),FIND(CHAR(10),SUBSTITUTE(A51,CHAR(13),"")&amp;CHAR(10))-1))))," ","~",LEN(LEFT((" "&amp;LEFT(SUBSTITUTE(A51,CHAR(13),""),FIND(CHAR(10),SUBSTITUTE(A51,CHAR(13),"")&amp;CHAR(10))-1)),FIND(".",(" "&amp;LEFT(SUBSTITUTE(A51,CHAR(13),""),FIND(CHAR(10),SUBSTITUTE(A51,CHAR(13),"")&amp;CHAR(10))-1)))))-LEN(SUBSTITUTE(LEFT((" "&amp;LEFT(SUBSTITUTE(A51,CHAR(13),""),FIND(CHAR(10),SUBSTITUTE(A51,CHAR(13),"")&amp;CHAR(10))-1)),FIND(".",(" "&amp;LEFT(SUBSTITUTE(A51,CHAR(13),""),FIND(CHAR(10),SUBSTITUTE(A51,CHAR(13),"")&amp;CHAR(10))-1))))," ",""))))+1),FIND(" ",(" "&amp;LEFT(SUBSTITUTE(A51,CHAR(13),""),FIND(CHAR(10),SUBSTITUTE(A51,CHAR(13),"")&amp;CHAR(10))-1))&amp;" ",FIND(".",(" "&amp;LEFT(SUBSTITUTE(A51,CHAR(13),""),FIND(CHAR(10),SUBSTITUTE(A51,CHAR(13),"")&amp;CHAR(10))-1))))-(FIND("~",SUBSTITUTE(LEFT((" "&amp;LEFT(SUBSTITUTE(A51,CHAR(13),""),FIND(CHAR(10),SUBSTITUTE(A51,CHAR(13),"")&amp;CHAR(10))-1)),FIND(".",(" "&amp;LEFT(SUBSTITUTE(A51,CHAR(13),""),FIND(CHAR(10),SUBSTITUTE(A51,CHAR(13),"")&amp;CHAR(10))-1))))," ","~",LEN(LEFT((" "&amp;LEFT(SUBSTITUTE(A51,CHAR(13),""),FIND(CHAR(10),SUBSTITUTE(A51,CHAR(13),"")&amp;CHAR(10))-1)),FIND(".",(" "&amp;LEFT(SUBSTITUTE(A51,CHAR(13),""),FIND(CHAR(10),SUBSTITUTE(A51,CHAR(13),"")&amp;CHAR(10))-1)))))-LEN(SUBSTITUTE(LEFT((" "&amp;LEFT(SUBSTITUTE(A51,CHAR(13),""),FIND(CHAR(10),SUBSTITUTE(A51,CHAR(13),"")&amp;CHAR(10))-1)),FIND(".",(" "&amp;LEFT(SUBSTITUTE(A51,CHAR(13),""),FIND(CHAR(10),SUBSTITUTE(A51,CHAR(13),"")&amp;CHAR(10))-1))))," ",""))))+1)),""))</f>
        <v/>
      </c>
    </row>
    <row r="52" customFormat="false" ht="30" hidden="false" customHeight="true" outlineLevel="0" collapsed="false">
      <c r="A52" s="11" t="str">
        <f aca="false">IFERROR(INDEX(Pegar!$A$3:$A$1002,MATCH(48,Pegar!$B$3:$B$1002,0))&amp;IF(LEFT(INDEX(Pegar!$A$3:$A$1003,MATCH(48,Pegar!$B$3:$B$1002,0)+1),5)="DESC=",CHAR(10)&amp;INDEX(Pegar!$A$3:$A$1003,MATCH(48,Pegar!$B$3:$B$1002,0)+1),""),"")</f>
        <v/>
      </c>
      <c r="B52" s="12" t="str">
        <f aca="false">IF(TRIM(A52)="","",IFERROR(MID(SUBSTITUTE(SUBSTITUTE(A52,CHAR(10)," "),CHAR(13)," "),FIND(" MT"," "&amp;SUBSTITUTE(SUBSTITUTE(A52,CHAR(10)," "),CHAR(13)," ")),FIND(" ",SUBSTITUTE(SUBSTITUTE(A52,CHAR(10)," "),CHAR(13)," ")&amp;" ",FIND(" MT"," "&amp;SUBSTITUTE(SUBSTITUTE(A52,CHAR(10)," "),CHAR(13)," ")))-FIND(" MT"," "&amp;SUBSTITUTE(SUBSTITUTE(A52,CHAR(10)," "),CHAR(13)," "))),"MT no encontrado"))</f>
        <v/>
      </c>
      <c r="C52" s="15" t="str">
        <f aca="false">IF(TRIM(A52)="","",IF(D52="",FALSE(),SUBSTITUTE(SUBSTITUTE(SUBSTITUTE(D52,".",""),"0",""),"-","")&lt;&gt;""))</f>
        <v/>
      </c>
      <c r="D52" s="14" t="str">
        <f aca="false">IF(TRIM(A52)="","",IFERROR(MID((" "&amp;LEFT(SUBSTITUTE(A52,CHAR(13),""),FIND(CHAR(10),SUBSTITUTE(A52,CHAR(13),"")&amp;CHAR(10))-1)),(FIND("~",SUBSTITUTE(LEFT((" "&amp;LEFT(SUBSTITUTE(A52,CHAR(13),""),FIND(CHAR(10),SUBSTITUTE(A52,CHAR(13),"")&amp;CHAR(10))-1)),FIND(".",(" "&amp;LEFT(SUBSTITUTE(A52,CHAR(13),""),FIND(CHAR(10),SUBSTITUTE(A52,CHAR(13),"")&amp;CHAR(10))-1))))," ","~",LEN(LEFT((" "&amp;LEFT(SUBSTITUTE(A52,CHAR(13),""),FIND(CHAR(10),SUBSTITUTE(A52,CHAR(13),"")&amp;CHAR(10))-1)),FIND(".",(" "&amp;LEFT(SUBSTITUTE(A52,CHAR(13),""),FIND(CHAR(10),SUBSTITUTE(A52,CHAR(13),"")&amp;CHAR(10))-1)))))-LEN(SUBSTITUTE(LEFT((" "&amp;LEFT(SUBSTITUTE(A52,CHAR(13),""),FIND(CHAR(10),SUBSTITUTE(A52,CHAR(13),"")&amp;CHAR(10))-1)),FIND(".",(" "&amp;LEFT(SUBSTITUTE(A52,CHAR(13),""),FIND(CHAR(10),SUBSTITUTE(A52,CHAR(13),"")&amp;CHAR(10))-1))))," ",""))))+1),FIND(" ",(" "&amp;LEFT(SUBSTITUTE(A52,CHAR(13),""),FIND(CHAR(10),SUBSTITUTE(A52,CHAR(13),"")&amp;CHAR(10))-1))&amp;" ",FIND(".",(" "&amp;LEFT(SUBSTITUTE(A52,CHAR(13),""),FIND(CHAR(10),SUBSTITUTE(A52,CHAR(13),"")&amp;CHAR(10))-1))))-(FIND("~",SUBSTITUTE(LEFT((" "&amp;LEFT(SUBSTITUTE(A52,CHAR(13),""),FIND(CHAR(10),SUBSTITUTE(A52,CHAR(13),"")&amp;CHAR(10))-1)),FIND(".",(" "&amp;LEFT(SUBSTITUTE(A52,CHAR(13),""),FIND(CHAR(10),SUBSTITUTE(A52,CHAR(13),"")&amp;CHAR(10))-1))))," ","~",LEN(LEFT((" "&amp;LEFT(SUBSTITUTE(A52,CHAR(13),""),FIND(CHAR(10),SUBSTITUTE(A52,CHAR(13),"")&amp;CHAR(10))-1)),FIND(".",(" "&amp;LEFT(SUBSTITUTE(A52,CHAR(13),""),FIND(CHAR(10),SUBSTITUTE(A52,CHAR(13),"")&amp;CHAR(10))-1)))))-LEN(SUBSTITUTE(LEFT((" "&amp;LEFT(SUBSTITUTE(A52,CHAR(13),""),FIND(CHAR(10),SUBSTITUTE(A52,CHAR(13),"")&amp;CHAR(10))-1)),FIND(".",(" "&amp;LEFT(SUBSTITUTE(A52,CHAR(13),""),FIND(CHAR(10),SUBSTITUTE(A52,CHAR(13),"")&amp;CHAR(10))-1))))," ",""))))+1)),""))</f>
        <v/>
      </c>
    </row>
    <row r="53" customFormat="false" ht="30" hidden="false" customHeight="true" outlineLevel="0" collapsed="false">
      <c r="A53" s="11" t="str">
        <f aca="false">IFERROR(INDEX(Pegar!$A$3:$A$1002,MATCH(49,Pegar!$B$3:$B$1002,0))&amp;IF(LEFT(INDEX(Pegar!$A$3:$A$1003,MATCH(49,Pegar!$B$3:$B$1002,0)+1),5)="DESC=",CHAR(10)&amp;INDEX(Pegar!$A$3:$A$1003,MATCH(49,Pegar!$B$3:$B$1002,0)+1),""),"")</f>
        <v/>
      </c>
      <c r="B53" s="12" t="str">
        <f aca="false">IF(TRIM(A53)="","",IFERROR(MID(SUBSTITUTE(SUBSTITUTE(A53,CHAR(10)," "),CHAR(13)," "),FIND(" MT"," "&amp;SUBSTITUTE(SUBSTITUTE(A53,CHAR(10)," "),CHAR(13)," ")),FIND(" ",SUBSTITUTE(SUBSTITUTE(A53,CHAR(10)," "),CHAR(13)," ")&amp;" ",FIND(" MT"," "&amp;SUBSTITUTE(SUBSTITUTE(A53,CHAR(10)," "),CHAR(13)," ")))-FIND(" MT"," "&amp;SUBSTITUTE(SUBSTITUTE(A53,CHAR(10)," "),CHAR(13)," "))),"MT no encontrado"))</f>
        <v/>
      </c>
      <c r="C53" s="15" t="str">
        <f aca="false">IF(TRIM(A53)="","",IF(D53="",FALSE(),SUBSTITUTE(SUBSTITUTE(SUBSTITUTE(D53,".",""),"0",""),"-","")&lt;&gt;""))</f>
        <v/>
      </c>
      <c r="D53" s="14" t="str">
        <f aca="false">IF(TRIM(A53)="","",IFERROR(MID((" "&amp;LEFT(SUBSTITUTE(A53,CHAR(13),""),FIND(CHAR(10),SUBSTITUTE(A53,CHAR(13),"")&amp;CHAR(10))-1)),(FIND("~",SUBSTITUTE(LEFT((" "&amp;LEFT(SUBSTITUTE(A53,CHAR(13),""),FIND(CHAR(10),SUBSTITUTE(A53,CHAR(13),"")&amp;CHAR(10))-1)),FIND(".",(" "&amp;LEFT(SUBSTITUTE(A53,CHAR(13),""),FIND(CHAR(10),SUBSTITUTE(A53,CHAR(13),"")&amp;CHAR(10))-1))))," ","~",LEN(LEFT((" "&amp;LEFT(SUBSTITUTE(A53,CHAR(13),""),FIND(CHAR(10),SUBSTITUTE(A53,CHAR(13),"")&amp;CHAR(10))-1)),FIND(".",(" "&amp;LEFT(SUBSTITUTE(A53,CHAR(13),""),FIND(CHAR(10),SUBSTITUTE(A53,CHAR(13),"")&amp;CHAR(10))-1)))))-LEN(SUBSTITUTE(LEFT((" "&amp;LEFT(SUBSTITUTE(A53,CHAR(13),""),FIND(CHAR(10),SUBSTITUTE(A53,CHAR(13),"")&amp;CHAR(10))-1)),FIND(".",(" "&amp;LEFT(SUBSTITUTE(A53,CHAR(13),""),FIND(CHAR(10),SUBSTITUTE(A53,CHAR(13),"")&amp;CHAR(10))-1))))," ",""))))+1),FIND(" ",(" "&amp;LEFT(SUBSTITUTE(A53,CHAR(13),""),FIND(CHAR(10),SUBSTITUTE(A53,CHAR(13),"")&amp;CHAR(10))-1))&amp;" ",FIND(".",(" "&amp;LEFT(SUBSTITUTE(A53,CHAR(13),""),FIND(CHAR(10),SUBSTITUTE(A53,CHAR(13),"")&amp;CHAR(10))-1))))-(FIND("~",SUBSTITUTE(LEFT((" "&amp;LEFT(SUBSTITUTE(A53,CHAR(13),""),FIND(CHAR(10),SUBSTITUTE(A53,CHAR(13),"")&amp;CHAR(10))-1)),FIND(".",(" "&amp;LEFT(SUBSTITUTE(A53,CHAR(13),""),FIND(CHAR(10),SUBSTITUTE(A53,CHAR(13),"")&amp;CHAR(10))-1))))," ","~",LEN(LEFT((" "&amp;LEFT(SUBSTITUTE(A53,CHAR(13),""),FIND(CHAR(10),SUBSTITUTE(A53,CHAR(13),"")&amp;CHAR(10))-1)),FIND(".",(" "&amp;LEFT(SUBSTITUTE(A53,CHAR(13),""),FIND(CHAR(10),SUBSTITUTE(A53,CHAR(13),"")&amp;CHAR(10))-1)))))-LEN(SUBSTITUTE(LEFT((" "&amp;LEFT(SUBSTITUTE(A53,CHAR(13),""),FIND(CHAR(10),SUBSTITUTE(A53,CHAR(13),"")&amp;CHAR(10))-1)),FIND(".",(" "&amp;LEFT(SUBSTITUTE(A53,CHAR(13),""),FIND(CHAR(10),SUBSTITUTE(A53,CHAR(13),"")&amp;CHAR(10))-1))))," ",""))))+1)),""))</f>
        <v/>
      </c>
    </row>
    <row r="54" customFormat="false" ht="30" hidden="false" customHeight="true" outlineLevel="0" collapsed="false">
      <c r="A54" s="11" t="str">
        <f aca="false">IFERROR(INDEX(Pegar!$A$3:$A$1002,MATCH(50,Pegar!$B$3:$B$1002,0))&amp;IF(LEFT(INDEX(Pegar!$A$3:$A$1003,MATCH(50,Pegar!$B$3:$B$1002,0)+1),5)="DESC=",CHAR(10)&amp;INDEX(Pegar!$A$3:$A$1003,MATCH(50,Pegar!$B$3:$B$1002,0)+1),""),"")</f>
        <v/>
      </c>
      <c r="B54" s="12" t="str">
        <f aca="false">IF(TRIM(A54)="","",IFERROR(MID(SUBSTITUTE(SUBSTITUTE(A54,CHAR(10)," "),CHAR(13)," "),FIND(" MT"," "&amp;SUBSTITUTE(SUBSTITUTE(A54,CHAR(10)," "),CHAR(13)," ")),FIND(" ",SUBSTITUTE(SUBSTITUTE(A54,CHAR(10)," "),CHAR(13)," ")&amp;" ",FIND(" MT"," "&amp;SUBSTITUTE(SUBSTITUTE(A54,CHAR(10)," "),CHAR(13)," ")))-FIND(" MT"," "&amp;SUBSTITUTE(SUBSTITUTE(A54,CHAR(10)," "),CHAR(13)," "))),"MT no encontrado"))</f>
        <v/>
      </c>
      <c r="C54" s="15" t="str">
        <f aca="false">IF(TRIM(A54)="","",IF(D54="",FALSE(),SUBSTITUTE(SUBSTITUTE(SUBSTITUTE(D54,".",""),"0",""),"-","")&lt;&gt;""))</f>
        <v/>
      </c>
      <c r="D54" s="14" t="str">
        <f aca="false">IF(TRIM(A54)="","",IFERROR(MID((" "&amp;LEFT(SUBSTITUTE(A54,CHAR(13),""),FIND(CHAR(10),SUBSTITUTE(A54,CHAR(13),"")&amp;CHAR(10))-1)),(FIND("~",SUBSTITUTE(LEFT((" "&amp;LEFT(SUBSTITUTE(A54,CHAR(13),""),FIND(CHAR(10),SUBSTITUTE(A54,CHAR(13),"")&amp;CHAR(10))-1)),FIND(".",(" "&amp;LEFT(SUBSTITUTE(A54,CHAR(13),""),FIND(CHAR(10),SUBSTITUTE(A54,CHAR(13),"")&amp;CHAR(10))-1))))," ","~",LEN(LEFT((" "&amp;LEFT(SUBSTITUTE(A54,CHAR(13),""),FIND(CHAR(10),SUBSTITUTE(A54,CHAR(13),"")&amp;CHAR(10))-1)),FIND(".",(" "&amp;LEFT(SUBSTITUTE(A54,CHAR(13),""),FIND(CHAR(10),SUBSTITUTE(A54,CHAR(13),"")&amp;CHAR(10))-1)))))-LEN(SUBSTITUTE(LEFT((" "&amp;LEFT(SUBSTITUTE(A54,CHAR(13),""),FIND(CHAR(10),SUBSTITUTE(A54,CHAR(13),"")&amp;CHAR(10))-1)),FIND(".",(" "&amp;LEFT(SUBSTITUTE(A54,CHAR(13),""),FIND(CHAR(10),SUBSTITUTE(A54,CHAR(13),"")&amp;CHAR(10))-1))))," ",""))))+1),FIND(" ",(" "&amp;LEFT(SUBSTITUTE(A54,CHAR(13),""),FIND(CHAR(10),SUBSTITUTE(A54,CHAR(13),"")&amp;CHAR(10))-1))&amp;" ",FIND(".",(" "&amp;LEFT(SUBSTITUTE(A54,CHAR(13),""),FIND(CHAR(10),SUBSTITUTE(A54,CHAR(13),"")&amp;CHAR(10))-1))))-(FIND("~",SUBSTITUTE(LEFT((" "&amp;LEFT(SUBSTITUTE(A54,CHAR(13),""),FIND(CHAR(10),SUBSTITUTE(A54,CHAR(13),"")&amp;CHAR(10))-1)),FIND(".",(" "&amp;LEFT(SUBSTITUTE(A54,CHAR(13),""),FIND(CHAR(10),SUBSTITUTE(A54,CHAR(13),"")&amp;CHAR(10))-1))))," ","~",LEN(LEFT((" "&amp;LEFT(SUBSTITUTE(A54,CHAR(13),""),FIND(CHAR(10),SUBSTITUTE(A54,CHAR(13),"")&amp;CHAR(10))-1)),FIND(".",(" "&amp;LEFT(SUBSTITUTE(A54,CHAR(13),""),FIND(CHAR(10),SUBSTITUTE(A54,CHAR(13),"")&amp;CHAR(10))-1)))))-LEN(SUBSTITUTE(LEFT((" "&amp;LEFT(SUBSTITUTE(A54,CHAR(13),""),FIND(CHAR(10),SUBSTITUTE(A54,CHAR(13),"")&amp;CHAR(10))-1)),FIND(".",(" "&amp;LEFT(SUBSTITUTE(A54,CHAR(13),""),FIND(CHAR(10),SUBSTITUTE(A54,CHAR(13),"")&amp;CHAR(10))-1))))," ",""))))+1)),""))</f>
        <v/>
      </c>
    </row>
    <row r="55" customFormat="false" ht="30" hidden="false" customHeight="true" outlineLevel="0" collapsed="false">
      <c r="A55" s="11" t="str">
        <f aca="false">IFERROR(INDEX(Pegar!$A$3:$A$1002,MATCH(51,Pegar!$B$3:$B$1002,0))&amp;IF(LEFT(INDEX(Pegar!$A$3:$A$1003,MATCH(51,Pegar!$B$3:$B$1002,0)+1),5)="DESC=",CHAR(10)&amp;INDEX(Pegar!$A$3:$A$1003,MATCH(51,Pegar!$B$3:$B$1002,0)+1),""),"")</f>
        <v/>
      </c>
      <c r="B55" s="12" t="str">
        <f aca="false">IF(TRIM(A55)="","",IFERROR(MID(SUBSTITUTE(SUBSTITUTE(A55,CHAR(10)," "),CHAR(13)," "),FIND(" MT"," "&amp;SUBSTITUTE(SUBSTITUTE(A55,CHAR(10)," "),CHAR(13)," ")),FIND(" ",SUBSTITUTE(SUBSTITUTE(A55,CHAR(10)," "),CHAR(13)," ")&amp;" ",FIND(" MT"," "&amp;SUBSTITUTE(SUBSTITUTE(A55,CHAR(10)," "),CHAR(13)," ")))-FIND(" MT"," "&amp;SUBSTITUTE(SUBSTITUTE(A55,CHAR(10)," "),CHAR(13)," "))),"MT no encontrado"))</f>
        <v/>
      </c>
      <c r="C55" s="15" t="str">
        <f aca="false">IF(TRIM(A55)="","",IF(D55="",FALSE(),SUBSTITUTE(SUBSTITUTE(SUBSTITUTE(D55,".",""),"0",""),"-","")&lt;&gt;""))</f>
        <v/>
      </c>
      <c r="D55" s="14" t="str">
        <f aca="false">IF(TRIM(A55)="","",IFERROR(MID((" "&amp;LEFT(SUBSTITUTE(A55,CHAR(13),""),FIND(CHAR(10),SUBSTITUTE(A55,CHAR(13),"")&amp;CHAR(10))-1)),(FIND("~",SUBSTITUTE(LEFT((" "&amp;LEFT(SUBSTITUTE(A55,CHAR(13),""),FIND(CHAR(10),SUBSTITUTE(A55,CHAR(13),"")&amp;CHAR(10))-1)),FIND(".",(" "&amp;LEFT(SUBSTITUTE(A55,CHAR(13),""),FIND(CHAR(10),SUBSTITUTE(A55,CHAR(13),"")&amp;CHAR(10))-1))))," ","~",LEN(LEFT((" "&amp;LEFT(SUBSTITUTE(A55,CHAR(13),""),FIND(CHAR(10),SUBSTITUTE(A55,CHAR(13),"")&amp;CHAR(10))-1)),FIND(".",(" "&amp;LEFT(SUBSTITUTE(A55,CHAR(13),""),FIND(CHAR(10),SUBSTITUTE(A55,CHAR(13),"")&amp;CHAR(10))-1)))))-LEN(SUBSTITUTE(LEFT((" "&amp;LEFT(SUBSTITUTE(A55,CHAR(13),""),FIND(CHAR(10),SUBSTITUTE(A55,CHAR(13),"")&amp;CHAR(10))-1)),FIND(".",(" "&amp;LEFT(SUBSTITUTE(A55,CHAR(13),""),FIND(CHAR(10),SUBSTITUTE(A55,CHAR(13),"")&amp;CHAR(10))-1))))," ",""))))+1),FIND(" ",(" "&amp;LEFT(SUBSTITUTE(A55,CHAR(13),""),FIND(CHAR(10),SUBSTITUTE(A55,CHAR(13),"")&amp;CHAR(10))-1))&amp;" ",FIND(".",(" "&amp;LEFT(SUBSTITUTE(A55,CHAR(13),""),FIND(CHAR(10),SUBSTITUTE(A55,CHAR(13),"")&amp;CHAR(10))-1))))-(FIND("~",SUBSTITUTE(LEFT((" "&amp;LEFT(SUBSTITUTE(A55,CHAR(13),""),FIND(CHAR(10),SUBSTITUTE(A55,CHAR(13),"")&amp;CHAR(10))-1)),FIND(".",(" "&amp;LEFT(SUBSTITUTE(A55,CHAR(13),""),FIND(CHAR(10),SUBSTITUTE(A55,CHAR(13),"")&amp;CHAR(10))-1))))," ","~",LEN(LEFT((" "&amp;LEFT(SUBSTITUTE(A55,CHAR(13),""),FIND(CHAR(10),SUBSTITUTE(A55,CHAR(13),"")&amp;CHAR(10))-1)),FIND(".",(" "&amp;LEFT(SUBSTITUTE(A55,CHAR(13),""),FIND(CHAR(10),SUBSTITUTE(A55,CHAR(13),"")&amp;CHAR(10))-1)))))-LEN(SUBSTITUTE(LEFT((" "&amp;LEFT(SUBSTITUTE(A55,CHAR(13),""),FIND(CHAR(10),SUBSTITUTE(A55,CHAR(13),"")&amp;CHAR(10))-1)),FIND(".",(" "&amp;LEFT(SUBSTITUTE(A55,CHAR(13),""),FIND(CHAR(10),SUBSTITUTE(A55,CHAR(13),"")&amp;CHAR(10))-1))))," ",""))))+1)),""))</f>
        <v/>
      </c>
    </row>
    <row r="56" customFormat="false" ht="30" hidden="false" customHeight="true" outlineLevel="0" collapsed="false">
      <c r="A56" s="11" t="str">
        <f aca="false">IFERROR(INDEX(Pegar!$A$3:$A$1002,MATCH(52,Pegar!$B$3:$B$1002,0))&amp;IF(LEFT(INDEX(Pegar!$A$3:$A$1003,MATCH(52,Pegar!$B$3:$B$1002,0)+1),5)="DESC=",CHAR(10)&amp;INDEX(Pegar!$A$3:$A$1003,MATCH(52,Pegar!$B$3:$B$1002,0)+1),""),"")</f>
        <v/>
      </c>
      <c r="B56" s="12" t="str">
        <f aca="false">IF(TRIM(A56)="","",IFERROR(MID(SUBSTITUTE(SUBSTITUTE(A56,CHAR(10)," "),CHAR(13)," "),FIND(" MT"," "&amp;SUBSTITUTE(SUBSTITUTE(A56,CHAR(10)," "),CHAR(13)," ")),FIND(" ",SUBSTITUTE(SUBSTITUTE(A56,CHAR(10)," "),CHAR(13)," ")&amp;" ",FIND(" MT"," "&amp;SUBSTITUTE(SUBSTITUTE(A56,CHAR(10)," "),CHAR(13)," ")))-FIND(" MT"," "&amp;SUBSTITUTE(SUBSTITUTE(A56,CHAR(10)," "),CHAR(13)," "))),"MT no encontrado"))</f>
        <v/>
      </c>
      <c r="C56" s="15" t="str">
        <f aca="false">IF(TRIM(A56)="","",IF(D56="",FALSE(),SUBSTITUTE(SUBSTITUTE(SUBSTITUTE(D56,".",""),"0",""),"-","")&lt;&gt;""))</f>
        <v/>
      </c>
      <c r="D56" s="14" t="str">
        <f aca="false">IF(TRIM(A56)="","",IFERROR(MID((" "&amp;LEFT(SUBSTITUTE(A56,CHAR(13),""),FIND(CHAR(10),SUBSTITUTE(A56,CHAR(13),"")&amp;CHAR(10))-1)),(FIND("~",SUBSTITUTE(LEFT((" "&amp;LEFT(SUBSTITUTE(A56,CHAR(13),""),FIND(CHAR(10),SUBSTITUTE(A56,CHAR(13),"")&amp;CHAR(10))-1)),FIND(".",(" "&amp;LEFT(SUBSTITUTE(A56,CHAR(13),""),FIND(CHAR(10),SUBSTITUTE(A56,CHAR(13),"")&amp;CHAR(10))-1))))," ","~",LEN(LEFT((" "&amp;LEFT(SUBSTITUTE(A56,CHAR(13),""),FIND(CHAR(10),SUBSTITUTE(A56,CHAR(13),"")&amp;CHAR(10))-1)),FIND(".",(" "&amp;LEFT(SUBSTITUTE(A56,CHAR(13),""),FIND(CHAR(10),SUBSTITUTE(A56,CHAR(13),"")&amp;CHAR(10))-1)))))-LEN(SUBSTITUTE(LEFT((" "&amp;LEFT(SUBSTITUTE(A56,CHAR(13),""),FIND(CHAR(10),SUBSTITUTE(A56,CHAR(13),"")&amp;CHAR(10))-1)),FIND(".",(" "&amp;LEFT(SUBSTITUTE(A56,CHAR(13),""),FIND(CHAR(10),SUBSTITUTE(A56,CHAR(13),"")&amp;CHAR(10))-1))))," ",""))))+1),FIND(" ",(" "&amp;LEFT(SUBSTITUTE(A56,CHAR(13),""),FIND(CHAR(10),SUBSTITUTE(A56,CHAR(13),"")&amp;CHAR(10))-1))&amp;" ",FIND(".",(" "&amp;LEFT(SUBSTITUTE(A56,CHAR(13),""),FIND(CHAR(10),SUBSTITUTE(A56,CHAR(13),"")&amp;CHAR(10))-1))))-(FIND("~",SUBSTITUTE(LEFT((" "&amp;LEFT(SUBSTITUTE(A56,CHAR(13),""),FIND(CHAR(10),SUBSTITUTE(A56,CHAR(13),"")&amp;CHAR(10))-1)),FIND(".",(" "&amp;LEFT(SUBSTITUTE(A56,CHAR(13),""),FIND(CHAR(10),SUBSTITUTE(A56,CHAR(13),"")&amp;CHAR(10))-1))))," ","~",LEN(LEFT((" "&amp;LEFT(SUBSTITUTE(A56,CHAR(13),""),FIND(CHAR(10),SUBSTITUTE(A56,CHAR(13),"")&amp;CHAR(10))-1)),FIND(".",(" "&amp;LEFT(SUBSTITUTE(A56,CHAR(13),""),FIND(CHAR(10),SUBSTITUTE(A56,CHAR(13),"")&amp;CHAR(10))-1)))))-LEN(SUBSTITUTE(LEFT((" "&amp;LEFT(SUBSTITUTE(A56,CHAR(13),""),FIND(CHAR(10),SUBSTITUTE(A56,CHAR(13),"")&amp;CHAR(10))-1)),FIND(".",(" "&amp;LEFT(SUBSTITUTE(A56,CHAR(13),""),FIND(CHAR(10),SUBSTITUTE(A56,CHAR(13),"")&amp;CHAR(10))-1))))," ",""))))+1)),""))</f>
        <v/>
      </c>
    </row>
    <row r="57" customFormat="false" ht="30" hidden="false" customHeight="true" outlineLevel="0" collapsed="false">
      <c r="A57" s="11" t="str">
        <f aca="false">IFERROR(INDEX(Pegar!$A$3:$A$1002,MATCH(53,Pegar!$B$3:$B$1002,0))&amp;IF(LEFT(INDEX(Pegar!$A$3:$A$1003,MATCH(53,Pegar!$B$3:$B$1002,0)+1),5)="DESC=",CHAR(10)&amp;INDEX(Pegar!$A$3:$A$1003,MATCH(53,Pegar!$B$3:$B$1002,0)+1),""),"")</f>
        <v/>
      </c>
      <c r="B57" s="12" t="str">
        <f aca="false">IF(TRIM(A57)="","",IFERROR(MID(SUBSTITUTE(SUBSTITUTE(A57,CHAR(10)," "),CHAR(13)," "),FIND(" MT"," "&amp;SUBSTITUTE(SUBSTITUTE(A57,CHAR(10)," "),CHAR(13)," ")),FIND(" ",SUBSTITUTE(SUBSTITUTE(A57,CHAR(10)," "),CHAR(13)," ")&amp;" ",FIND(" MT"," "&amp;SUBSTITUTE(SUBSTITUTE(A57,CHAR(10)," "),CHAR(13)," ")))-FIND(" MT"," "&amp;SUBSTITUTE(SUBSTITUTE(A57,CHAR(10)," "),CHAR(13)," "))),"MT no encontrado"))</f>
        <v/>
      </c>
      <c r="C57" s="15" t="str">
        <f aca="false">IF(TRIM(A57)="","",IF(D57="",FALSE(),SUBSTITUTE(SUBSTITUTE(SUBSTITUTE(D57,".",""),"0",""),"-","")&lt;&gt;""))</f>
        <v/>
      </c>
      <c r="D57" s="14" t="str">
        <f aca="false">IF(TRIM(A57)="","",IFERROR(MID((" "&amp;LEFT(SUBSTITUTE(A57,CHAR(13),""),FIND(CHAR(10),SUBSTITUTE(A57,CHAR(13),"")&amp;CHAR(10))-1)),(FIND("~",SUBSTITUTE(LEFT((" "&amp;LEFT(SUBSTITUTE(A57,CHAR(13),""),FIND(CHAR(10),SUBSTITUTE(A57,CHAR(13),"")&amp;CHAR(10))-1)),FIND(".",(" "&amp;LEFT(SUBSTITUTE(A57,CHAR(13),""),FIND(CHAR(10),SUBSTITUTE(A57,CHAR(13),"")&amp;CHAR(10))-1))))," ","~",LEN(LEFT((" "&amp;LEFT(SUBSTITUTE(A57,CHAR(13),""),FIND(CHAR(10),SUBSTITUTE(A57,CHAR(13),"")&amp;CHAR(10))-1)),FIND(".",(" "&amp;LEFT(SUBSTITUTE(A57,CHAR(13),""),FIND(CHAR(10),SUBSTITUTE(A57,CHAR(13),"")&amp;CHAR(10))-1)))))-LEN(SUBSTITUTE(LEFT((" "&amp;LEFT(SUBSTITUTE(A57,CHAR(13),""),FIND(CHAR(10),SUBSTITUTE(A57,CHAR(13),"")&amp;CHAR(10))-1)),FIND(".",(" "&amp;LEFT(SUBSTITUTE(A57,CHAR(13),""),FIND(CHAR(10),SUBSTITUTE(A57,CHAR(13),"")&amp;CHAR(10))-1))))," ",""))))+1),FIND(" ",(" "&amp;LEFT(SUBSTITUTE(A57,CHAR(13),""),FIND(CHAR(10),SUBSTITUTE(A57,CHAR(13),"")&amp;CHAR(10))-1))&amp;" ",FIND(".",(" "&amp;LEFT(SUBSTITUTE(A57,CHAR(13),""),FIND(CHAR(10),SUBSTITUTE(A57,CHAR(13),"")&amp;CHAR(10))-1))))-(FIND("~",SUBSTITUTE(LEFT((" "&amp;LEFT(SUBSTITUTE(A57,CHAR(13),""),FIND(CHAR(10),SUBSTITUTE(A57,CHAR(13),"")&amp;CHAR(10))-1)),FIND(".",(" "&amp;LEFT(SUBSTITUTE(A57,CHAR(13),""),FIND(CHAR(10),SUBSTITUTE(A57,CHAR(13),"")&amp;CHAR(10))-1))))," ","~",LEN(LEFT((" "&amp;LEFT(SUBSTITUTE(A57,CHAR(13),""),FIND(CHAR(10),SUBSTITUTE(A57,CHAR(13),"")&amp;CHAR(10))-1)),FIND(".",(" "&amp;LEFT(SUBSTITUTE(A57,CHAR(13),""),FIND(CHAR(10),SUBSTITUTE(A57,CHAR(13),"")&amp;CHAR(10))-1)))))-LEN(SUBSTITUTE(LEFT((" "&amp;LEFT(SUBSTITUTE(A57,CHAR(13),""),FIND(CHAR(10),SUBSTITUTE(A57,CHAR(13),"")&amp;CHAR(10))-1)),FIND(".",(" "&amp;LEFT(SUBSTITUTE(A57,CHAR(13),""),FIND(CHAR(10),SUBSTITUTE(A57,CHAR(13),"")&amp;CHAR(10))-1))))," ",""))))+1)),""))</f>
        <v/>
      </c>
    </row>
    <row r="58" customFormat="false" ht="30" hidden="false" customHeight="true" outlineLevel="0" collapsed="false">
      <c r="A58" s="11" t="str">
        <f aca="false">IFERROR(INDEX(Pegar!$A$3:$A$1002,MATCH(54,Pegar!$B$3:$B$1002,0))&amp;IF(LEFT(INDEX(Pegar!$A$3:$A$1003,MATCH(54,Pegar!$B$3:$B$1002,0)+1),5)="DESC=",CHAR(10)&amp;INDEX(Pegar!$A$3:$A$1003,MATCH(54,Pegar!$B$3:$B$1002,0)+1),""),"")</f>
        <v/>
      </c>
      <c r="B58" s="12" t="str">
        <f aca="false">IF(TRIM(A58)="","",IFERROR(MID(SUBSTITUTE(SUBSTITUTE(A58,CHAR(10)," "),CHAR(13)," "),FIND(" MT"," "&amp;SUBSTITUTE(SUBSTITUTE(A58,CHAR(10)," "),CHAR(13)," ")),FIND(" ",SUBSTITUTE(SUBSTITUTE(A58,CHAR(10)," "),CHAR(13)," ")&amp;" ",FIND(" MT"," "&amp;SUBSTITUTE(SUBSTITUTE(A58,CHAR(10)," "),CHAR(13)," ")))-FIND(" MT"," "&amp;SUBSTITUTE(SUBSTITUTE(A58,CHAR(10)," "),CHAR(13)," "))),"MT no encontrado"))</f>
        <v/>
      </c>
      <c r="C58" s="15" t="str">
        <f aca="false">IF(TRIM(A58)="","",IF(D58="",FALSE(),SUBSTITUTE(SUBSTITUTE(SUBSTITUTE(D58,".",""),"0",""),"-","")&lt;&gt;""))</f>
        <v/>
      </c>
      <c r="D58" s="14" t="str">
        <f aca="false">IF(TRIM(A58)="","",IFERROR(MID((" "&amp;LEFT(SUBSTITUTE(A58,CHAR(13),""),FIND(CHAR(10),SUBSTITUTE(A58,CHAR(13),"")&amp;CHAR(10))-1)),(FIND("~",SUBSTITUTE(LEFT((" "&amp;LEFT(SUBSTITUTE(A58,CHAR(13),""),FIND(CHAR(10),SUBSTITUTE(A58,CHAR(13),"")&amp;CHAR(10))-1)),FIND(".",(" "&amp;LEFT(SUBSTITUTE(A58,CHAR(13),""),FIND(CHAR(10),SUBSTITUTE(A58,CHAR(13),"")&amp;CHAR(10))-1))))," ","~",LEN(LEFT((" "&amp;LEFT(SUBSTITUTE(A58,CHAR(13),""),FIND(CHAR(10),SUBSTITUTE(A58,CHAR(13),"")&amp;CHAR(10))-1)),FIND(".",(" "&amp;LEFT(SUBSTITUTE(A58,CHAR(13),""),FIND(CHAR(10),SUBSTITUTE(A58,CHAR(13),"")&amp;CHAR(10))-1)))))-LEN(SUBSTITUTE(LEFT((" "&amp;LEFT(SUBSTITUTE(A58,CHAR(13),""),FIND(CHAR(10),SUBSTITUTE(A58,CHAR(13),"")&amp;CHAR(10))-1)),FIND(".",(" "&amp;LEFT(SUBSTITUTE(A58,CHAR(13),""),FIND(CHAR(10),SUBSTITUTE(A58,CHAR(13),"")&amp;CHAR(10))-1))))," ",""))))+1),FIND(" ",(" "&amp;LEFT(SUBSTITUTE(A58,CHAR(13),""),FIND(CHAR(10),SUBSTITUTE(A58,CHAR(13),"")&amp;CHAR(10))-1))&amp;" ",FIND(".",(" "&amp;LEFT(SUBSTITUTE(A58,CHAR(13),""),FIND(CHAR(10),SUBSTITUTE(A58,CHAR(13),"")&amp;CHAR(10))-1))))-(FIND("~",SUBSTITUTE(LEFT((" "&amp;LEFT(SUBSTITUTE(A58,CHAR(13),""),FIND(CHAR(10),SUBSTITUTE(A58,CHAR(13),"")&amp;CHAR(10))-1)),FIND(".",(" "&amp;LEFT(SUBSTITUTE(A58,CHAR(13),""),FIND(CHAR(10),SUBSTITUTE(A58,CHAR(13),"")&amp;CHAR(10))-1))))," ","~",LEN(LEFT((" "&amp;LEFT(SUBSTITUTE(A58,CHAR(13),""),FIND(CHAR(10),SUBSTITUTE(A58,CHAR(13),"")&amp;CHAR(10))-1)),FIND(".",(" "&amp;LEFT(SUBSTITUTE(A58,CHAR(13),""),FIND(CHAR(10),SUBSTITUTE(A58,CHAR(13),"")&amp;CHAR(10))-1)))))-LEN(SUBSTITUTE(LEFT((" "&amp;LEFT(SUBSTITUTE(A58,CHAR(13),""),FIND(CHAR(10),SUBSTITUTE(A58,CHAR(13),"")&amp;CHAR(10))-1)),FIND(".",(" "&amp;LEFT(SUBSTITUTE(A58,CHAR(13),""),FIND(CHAR(10),SUBSTITUTE(A58,CHAR(13),"")&amp;CHAR(10))-1))))," ",""))))+1)),""))</f>
        <v/>
      </c>
    </row>
    <row r="59" customFormat="false" ht="30" hidden="false" customHeight="true" outlineLevel="0" collapsed="false">
      <c r="A59" s="11" t="str">
        <f aca="false">IFERROR(INDEX(Pegar!$A$3:$A$1002,MATCH(55,Pegar!$B$3:$B$1002,0))&amp;IF(LEFT(INDEX(Pegar!$A$3:$A$1003,MATCH(55,Pegar!$B$3:$B$1002,0)+1),5)="DESC=",CHAR(10)&amp;INDEX(Pegar!$A$3:$A$1003,MATCH(55,Pegar!$B$3:$B$1002,0)+1),""),"")</f>
        <v/>
      </c>
      <c r="B59" s="12" t="str">
        <f aca="false">IF(TRIM(A59)="","",IFERROR(MID(SUBSTITUTE(SUBSTITUTE(A59,CHAR(10)," "),CHAR(13)," "),FIND(" MT"," "&amp;SUBSTITUTE(SUBSTITUTE(A59,CHAR(10)," "),CHAR(13)," ")),FIND(" ",SUBSTITUTE(SUBSTITUTE(A59,CHAR(10)," "),CHAR(13)," ")&amp;" ",FIND(" MT"," "&amp;SUBSTITUTE(SUBSTITUTE(A59,CHAR(10)," "),CHAR(13)," ")))-FIND(" MT"," "&amp;SUBSTITUTE(SUBSTITUTE(A59,CHAR(10)," "),CHAR(13)," "))),"MT no encontrado"))</f>
        <v/>
      </c>
      <c r="C59" s="15" t="str">
        <f aca="false">IF(TRIM(A59)="","",IF(D59="",FALSE(),SUBSTITUTE(SUBSTITUTE(SUBSTITUTE(D59,".",""),"0",""),"-","")&lt;&gt;""))</f>
        <v/>
      </c>
      <c r="D59" s="14" t="str">
        <f aca="false">IF(TRIM(A59)="","",IFERROR(MID((" "&amp;LEFT(SUBSTITUTE(A59,CHAR(13),""),FIND(CHAR(10),SUBSTITUTE(A59,CHAR(13),"")&amp;CHAR(10))-1)),(FIND("~",SUBSTITUTE(LEFT((" "&amp;LEFT(SUBSTITUTE(A59,CHAR(13),""),FIND(CHAR(10),SUBSTITUTE(A59,CHAR(13),"")&amp;CHAR(10))-1)),FIND(".",(" "&amp;LEFT(SUBSTITUTE(A59,CHAR(13),""),FIND(CHAR(10),SUBSTITUTE(A59,CHAR(13),"")&amp;CHAR(10))-1))))," ","~",LEN(LEFT((" "&amp;LEFT(SUBSTITUTE(A59,CHAR(13),""),FIND(CHAR(10),SUBSTITUTE(A59,CHAR(13),"")&amp;CHAR(10))-1)),FIND(".",(" "&amp;LEFT(SUBSTITUTE(A59,CHAR(13),""),FIND(CHAR(10),SUBSTITUTE(A59,CHAR(13),"")&amp;CHAR(10))-1)))))-LEN(SUBSTITUTE(LEFT((" "&amp;LEFT(SUBSTITUTE(A59,CHAR(13),""),FIND(CHAR(10),SUBSTITUTE(A59,CHAR(13),"")&amp;CHAR(10))-1)),FIND(".",(" "&amp;LEFT(SUBSTITUTE(A59,CHAR(13),""),FIND(CHAR(10),SUBSTITUTE(A59,CHAR(13),"")&amp;CHAR(10))-1))))," ",""))))+1),FIND(" ",(" "&amp;LEFT(SUBSTITUTE(A59,CHAR(13),""),FIND(CHAR(10),SUBSTITUTE(A59,CHAR(13),"")&amp;CHAR(10))-1))&amp;" ",FIND(".",(" "&amp;LEFT(SUBSTITUTE(A59,CHAR(13),""),FIND(CHAR(10),SUBSTITUTE(A59,CHAR(13),"")&amp;CHAR(10))-1))))-(FIND("~",SUBSTITUTE(LEFT((" "&amp;LEFT(SUBSTITUTE(A59,CHAR(13),""),FIND(CHAR(10),SUBSTITUTE(A59,CHAR(13),"")&amp;CHAR(10))-1)),FIND(".",(" "&amp;LEFT(SUBSTITUTE(A59,CHAR(13),""),FIND(CHAR(10),SUBSTITUTE(A59,CHAR(13),"")&amp;CHAR(10))-1))))," ","~",LEN(LEFT((" "&amp;LEFT(SUBSTITUTE(A59,CHAR(13),""),FIND(CHAR(10),SUBSTITUTE(A59,CHAR(13),"")&amp;CHAR(10))-1)),FIND(".",(" "&amp;LEFT(SUBSTITUTE(A59,CHAR(13),""),FIND(CHAR(10),SUBSTITUTE(A59,CHAR(13),"")&amp;CHAR(10))-1)))))-LEN(SUBSTITUTE(LEFT((" "&amp;LEFT(SUBSTITUTE(A59,CHAR(13),""),FIND(CHAR(10),SUBSTITUTE(A59,CHAR(13),"")&amp;CHAR(10))-1)),FIND(".",(" "&amp;LEFT(SUBSTITUTE(A59,CHAR(13),""),FIND(CHAR(10),SUBSTITUTE(A59,CHAR(13),"")&amp;CHAR(10))-1))))," ",""))))+1)),""))</f>
        <v/>
      </c>
    </row>
    <row r="60" customFormat="false" ht="30" hidden="false" customHeight="true" outlineLevel="0" collapsed="false">
      <c r="A60" s="11" t="str">
        <f aca="false">IFERROR(INDEX(Pegar!$A$3:$A$1002,MATCH(56,Pegar!$B$3:$B$1002,0))&amp;IF(LEFT(INDEX(Pegar!$A$3:$A$1003,MATCH(56,Pegar!$B$3:$B$1002,0)+1),5)="DESC=",CHAR(10)&amp;INDEX(Pegar!$A$3:$A$1003,MATCH(56,Pegar!$B$3:$B$1002,0)+1),""),"")</f>
        <v/>
      </c>
      <c r="B60" s="12" t="str">
        <f aca="false">IF(TRIM(A60)="","",IFERROR(MID(SUBSTITUTE(SUBSTITUTE(A60,CHAR(10)," "),CHAR(13)," "),FIND(" MT"," "&amp;SUBSTITUTE(SUBSTITUTE(A60,CHAR(10)," "),CHAR(13)," ")),FIND(" ",SUBSTITUTE(SUBSTITUTE(A60,CHAR(10)," "),CHAR(13)," ")&amp;" ",FIND(" MT"," "&amp;SUBSTITUTE(SUBSTITUTE(A60,CHAR(10)," "),CHAR(13)," ")))-FIND(" MT"," "&amp;SUBSTITUTE(SUBSTITUTE(A60,CHAR(10)," "),CHAR(13)," "))),"MT no encontrado"))</f>
        <v/>
      </c>
      <c r="C60" s="15" t="str">
        <f aca="false">IF(TRIM(A60)="","",IF(D60="",FALSE(),SUBSTITUTE(SUBSTITUTE(SUBSTITUTE(D60,".",""),"0",""),"-","")&lt;&gt;""))</f>
        <v/>
      </c>
      <c r="D60" s="14" t="str">
        <f aca="false">IF(TRIM(A60)="","",IFERROR(MID((" "&amp;LEFT(SUBSTITUTE(A60,CHAR(13),""),FIND(CHAR(10),SUBSTITUTE(A60,CHAR(13),"")&amp;CHAR(10))-1)),(FIND("~",SUBSTITUTE(LEFT((" "&amp;LEFT(SUBSTITUTE(A60,CHAR(13),""),FIND(CHAR(10),SUBSTITUTE(A60,CHAR(13),"")&amp;CHAR(10))-1)),FIND(".",(" "&amp;LEFT(SUBSTITUTE(A60,CHAR(13),""),FIND(CHAR(10),SUBSTITUTE(A60,CHAR(13),"")&amp;CHAR(10))-1))))," ","~",LEN(LEFT((" "&amp;LEFT(SUBSTITUTE(A60,CHAR(13),""),FIND(CHAR(10),SUBSTITUTE(A60,CHAR(13),"")&amp;CHAR(10))-1)),FIND(".",(" "&amp;LEFT(SUBSTITUTE(A60,CHAR(13),""),FIND(CHAR(10),SUBSTITUTE(A60,CHAR(13),"")&amp;CHAR(10))-1)))))-LEN(SUBSTITUTE(LEFT((" "&amp;LEFT(SUBSTITUTE(A60,CHAR(13),""),FIND(CHAR(10),SUBSTITUTE(A60,CHAR(13),"")&amp;CHAR(10))-1)),FIND(".",(" "&amp;LEFT(SUBSTITUTE(A60,CHAR(13),""),FIND(CHAR(10),SUBSTITUTE(A60,CHAR(13),"")&amp;CHAR(10))-1))))," ",""))))+1),FIND(" ",(" "&amp;LEFT(SUBSTITUTE(A60,CHAR(13),""),FIND(CHAR(10),SUBSTITUTE(A60,CHAR(13),"")&amp;CHAR(10))-1))&amp;" ",FIND(".",(" "&amp;LEFT(SUBSTITUTE(A60,CHAR(13),""),FIND(CHAR(10),SUBSTITUTE(A60,CHAR(13),"")&amp;CHAR(10))-1))))-(FIND("~",SUBSTITUTE(LEFT((" "&amp;LEFT(SUBSTITUTE(A60,CHAR(13),""),FIND(CHAR(10),SUBSTITUTE(A60,CHAR(13),"")&amp;CHAR(10))-1)),FIND(".",(" "&amp;LEFT(SUBSTITUTE(A60,CHAR(13),""),FIND(CHAR(10),SUBSTITUTE(A60,CHAR(13),"")&amp;CHAR(10))-1))))," ","~",LEN(LEFT((" "&amp;LEFT(SUBSTITUTE(A60,CHAR(13),""),FIND(CHAR(10),SUBSTITUTE(A60,CHAR(13),"")&amp;CHAR(10))-1)),FIND(".",(" "&amp;LEFT(SUBSTITUTE(A60,CHAR(13),""),FIND(CHAR(10),SUBSTITUTE(A60,CHAR(13),"")&amp;CHAR(10))-1)))))-LEN(SUBSTITUTE(LEFT((" "&amp;LEFT(SUBSTITUTE(A60,CHAR(13),""),FIND(CHAR(10),SUBSTITUTE(A60,CHAR(13),"")&amp;CHAR(10))-1)),FIND(".",(" "&amp;LEFT(SUBSTITUTE(A60,CHAR(13),""),FIND(CHAR(10),SUBSTITUTE(A60,CHAR(13),"")&amp;CHAR(10))-1))))," ",""))))+1)),""))</f>
        <v/>
      </c>
    </row>
    <row r="61" customFormat="false" ht="30" hidden="false" customHeight="true" outlineLevel="0" collapsed="false">
      <c r="A61" s="11" t="str">
        <f aca="false">IFERROR(INDEX(Pegar!$A$3:$A$1002,MATCH(57,Pegar!$B$3:$B$1002,0))&amp;IF(LEFT(INDEX(Pegar!$A$3:$A$1003,MATCH(57,Pegar!$B$3:$B$1002,0)+1),5)="DESC=",CHAR(10)&amp;INDEX(Pegar!$A$3:$A$1003,MATCH(57,Pegar!$B$3:$B$1002,0)+1),""),"")</f>
        <v/>
      </c>
      <c r="B61" s="12" t="str">
        <f aca="false">IF(TRIM(A61)="","",IFERROR(MID(SUBSTITUTE(SUBSTITUTE(A61,CHAR(10)," "),CHAR(13)," "),FIND(" MT"," "&amp;SUBSTITUTE(SUBSTITUTE(A61,CHAR(10)," "),CHAR(13)," ")),FIND(" ",SUBSTITUTE(SUBSTITUTE(A61,CHAR(10)," "),CHAR(13)," ")&amp;" ",FIND(" MT"," "&amp;SUBSTITUTE(SUBSTITUTE(A61,CHAR(10)," "),CHAR(13)," ")))-FIND(" MT"," "&amp;SUBSTITUTE(SUBSTITUTE(A61,CHAR(10)," "),CHAR(13)," "))),"MT no encontrado"))</f>
        <v/>
      </c>
      <c r="C61" s="15" t="str">
        <f aca="false">IF(TRIM(A61)="","",IF(D61="",FALSE(),SUBSTITUTE(SUBSTITUTE(SUBSTITUTE(D61,".",""),"0",""),"-","")&lt;&gt;""))</f>
        <v/>
      </c>
      <c r="D61" s="14" t="str">
        <f aca="false">IF(TRIM(A61)="","",IFERROR(MID((" "&amp;LEFT(SUBSTITUTE(A61,CHAR(13),""),FIND(CHAR(10),SUBSTITUTE(A61,CHAR(13),"")&amp;CHAR(10))-1)),(FIND("~",SUBSTITUTE(LEFT((" "&amp;LEFT(SUBSTITUTE(A61,CHAR(13),""),FIND(CHAR(10),SUBSTITUTE(A61,CHAR(13),"")&amp;CHAR(10))-1)),FIND(".",(" "&amp;LEFT(SUBSTITUTE(A61,CHAR(13),""),FIND(CHAR(10),SUBSTITUTE(A61,CHAR(13),"")&amp;CHAR(10))-1))))," ","~",LEN(LEFT((" "&amp;LEFT(SUBSTITUTE(A61,CHAR(13),""),FIND(CHAR(10),SUBSTITUTE(A61,CHAR(13),"")&amp;CHAR(10))-1)),FIND(".",(" "&amp;LEFT(SUBSTITUTE(A61,CHAR(13),""),FIND(CHAR(10),SUBSTITUTE(A61,CHAR(13),"")&amp;CHAR(10))-1)))))-LEN(SUBSTITUTE(LEFT((" "&amp;LEFT(SUBSTITUTE(A61,CHAR(13),""),FIND(CHAR(10),SUBSTITUTE(A61,CHAR(13),"")&amp;CHAR(10))-1)),FIND(".",(" "&amp;LEFT(SUBSTITUTE(A61,CHAR(13),""),FIND(CHAR(10),SUBSTITUTE(A61,CHAR(13),"")&amp;CHAR(10))-1))))," ",""))))+1),FIND(" ",(" "&amp;LEFT(SUBSTITUTE(A61,CHAR(13),""),FIND(CHAR(10),SUBSTITUTE(A61,CHAR(13),"")&amp;CHAR(10))-1))&amp;" ",FIND(".",(" "&amp;LEFT(SUBSTITUTE(A61,CHAR(13),""),FIND(CHAR(10),SUBSTITUTE(A61,CHAR(13),"")&amp;CHAR(10))-1))))-(FIND("~",SUBSTITUTE(LEFT((" "&amp;LEFT(SUBSTITUTE(A61,CHAR(13),""),FIND(CHAR(10),SUBSTITUTE(A61,CHAR(13),"")&amp;CHAR(10))-1)),FIND(".",(" "&amp;LEFT(SUBSTITUTE(A61,CHAR(13),""),FIND(CHAR(10),SUBSTITUTE(A61,CHAR(13),"")&amp;CHAR(10))-1))))," ","~",LEN(LEFT((" "&amp;LEFT(SUBSTITUTE(A61,CHAR(13),""),FIND(CHAR(10),SUBSTITUTE(A61,CHAR(13),"")&amp;CHAR(10))-1)),FIND(".",(" "&amp;LEFT(SUBSTITUTE(A61,CHAR(13),""),FIND(CHAR(10),SUBSTITUTE(A61,CHAR(13),"")&amp;CHAR(10))-1)))))-LEN(SUBSTITUTE(LEFT((" "&amp;LEFT(SUBSTITUTE(A61,CHAR(13),""),FIND(CHAR(10),SUBSTITUTE(A61,CHAR(13),"")&amp;CHAR(10))-1)),FIND(".",(" "&amp;LEFT(SUBSTITUTE(A61,CHAR(13),""),FIND(CHAR(10),SUBSTITUTE(A61,CHAR(13),"")&amp;CHAR(10))-1))))," ",""))))+1)),""))</f>
        <v/>
      </c>
    </row>
    <row r="62" customFormat="false" ht="30" hidden="false" customHeight="true" outlineLevel="0" collapsed="false">
      <c r="A62" s="11" t="str">
        <f aca="false">IFERROR(INDEX(Pegar!$A$3:$A$1002,MATCH(58,Pegar!$B$3:$B$1002,0))&amp;IF(LEFT(INDEX(Pegar!$A$3:$A$1003,MATCH(58,Pegar!$B$3:$B$1002,0)+1),5)="DESC=",CHAR(10)&amp;INDEX(Pegar!$A$3:$A$1003,MATCH(58,Pegar!$B$3:$B$1002,0)+1),""),"")</f>
        <v/>
      </c>
      <c r="B62" s="12" t="str">
        <f aca="false">IF(TRIM(A62)="","",IFERROR(MID(SUBSTITUTE(SUBSTITUTE(A62,CHAR(10)," "),CHAR(13)," "),FIND(" MT"," "&amp;SUBSTITUTE(SUBSTITUTE(A62,CHAR(10)," "),CHAR(13)," ")),FIND(" ",SUBSTITUTE(SUBSTITUTE(A62,CHAR(10)," "),CHAR(13)," ")&amp;" ",FIND(" MT"," "&amp;SUBSTITUTE(SUBSTITUTE(A62,CHAR(10)," "),CHAR(13)," ")))-FIND(" MT"," "&amp;SUBSTITUTE(SUBSTITUTE(A62,CHAR(10)," "),CHAR(13)," "))),"MT no encontrado"))</f>
        <v/>
      </c>
      <c r="C62" s="15" t="str">
        <f aca="false">IF(TRIM(A62)="","",IF(D62="",FALSE(),SUBSTITUTE(SUBSTITUTE(SUBSTITUTE(D62,".",""),"0",""),"-","")&lt;&gt;""))</f>
        <v/>
      </c>
      <c r="D62" s="14" t="str">
        <f aca="false">IF(TRIM(A62)="","",IFERROR(MID((" "&amp;LEFT(SUBSTITUTE(A62,CHAR(13),""),FIND(CHAR(10),SUBSTITUTE(A62,CHAR(13),"")&amp;CHAR(10))-1)),(FIND("~",SUBSTITUTE(LEFT((" "&amp;LEFT(SUBSTITUTE(A62,CHAR(13),""),FIND(CHAR(10),SUBSTITUTE(A62,CHAR(13),"")&amp;CHAR(10))-1)),FIND(".",(" "&amp;LEFT(SUBSTITUTE(A62,CHAR(13),""),FIND(CHAR(10),SUBSTITUTE(A62,CHAR(13),"")&amp;CHAR(10))-1))))," ","~",LEN(LEFT((" "&amp;LEFT(SUBSTITUTE(A62,CHAR(13),""),FIND(CHAR(10),SUBSTITUTE(A62,CHAR(13),"")&amp;CHAR(10))-1)),FIND(".",(" "&amp;LEFT(SUBSTITUTE(A62,CHAR(13),""),FIND(CHAR(10),SUBSTITUTE(A62,CHAR(13),"")&amp;CHAR(10))-1)))))-LEN(SUBSTITUTE(LEFT((" "&amp;LEFT(SUBSTITUTE(A62,CHAR(13),""),FIND(CHAR(10),SUBSTITUTE(A62,CHAR(13),"")&amp;CHAR(10))-1)),FIND(".",(" "&amp;LEFT(SUBSTITUTE(A62,CHAR(13),""),FIND(CHAR(10),SUBSTITUTE(A62,CHAR(13),"")&amp;CHAR(10))-1))))," ",""))))+1),FIND(" ",(" "&amp;LEFT(SUBSTITUTE(A62,CHAR(13),""),FIND(CHAR(10),SUBSTITUTE(A62,CHAR(13),"")&amp;CHAR(10))-1))&amp;" ",FIND(".",(" "&amp;LEFT(SUBSTITUTE(A62,CHAR(13),""),FIND(CHAR(10),SUBSTITUTE(A62,CHAR(13),"")&amp;CHAR(10))-1))))-(FIND("~",SUBSTITUTE(LEFT((" "&amp;LEFT(SUBSTITUTE(A62,CHAR(13),""),FIND(CHAR(10),SUBSTITUTE(A62,CHAR(13),"")&amp;CHAR(10))-1)),FIND(".",(" "&amp;LEFT(SUBSTITUTE(A62,CHAR(13),""),FIND(CHAR(10),SUBSTITUTE(A62,CHAR(13),"")&amp;CHAR(10))-1))))," ","~",LEN(LEFT((" "&amp;LEFT(SUBSTITUTE(A62,CHAR(13),""),FIND(CHAR(10),SUBSTITUTE(A62,CHAR(13),"")&amp;CHAR(10))-1)),FIND(".",(" "&amp;LEFT(SUBSTITUTE(A62,CHAR(13),""),FIND(CHAR(10),SUBSTITUTE(A62,CHAR(13),"")&amp;CHAR(10))-1)))))-LEN(SUBSTITUTE(LEFT((" "&amp;LEFT(SUBSTITUTE(A62,CHAR(13),""),FIND(CHAR(10),SUBSTITUTE(A62,CHAR(13),"")&amp;CHAR(10))-1)),FIND(".",(" "&amp;LEFT(SUBSTITUTE(A62,CHAR(13),""),FIND(CHAR(10),SUBSTITUTE(A62,CHAR(13),"")&amp;CHAR(10))-1))))," ",""))))+1)),""))</f>
        <v/>
      </c>
    </row>
    <row r="63" customFormat="false" ht="30" hidden="false" customHeight="true" outlineLevel="0" collapsed="false">
      <c r="A63" s="11" t="str">
        <f aca="false">IFERROR(INDEX(Pegar!$A$3:$A$1002,MATCH(59,Pegar!$B$3:$B$1002,0))&amp;IF(LEFT(INDEX(Pegar!$A$3:$A$1003,MATCH(59,Pegar!$B$3:$B$1002,0)+1),5)="DESC=",CHAR(10)&amp;INDEX(Pegar!$A$3:$A$1003,MATCH(59,Pegar!$B$3:$B$1002,0)+1),""),"")</f>
        <v/>
      </c>
      <c r="B63" s="12" t="str">
        <f aca="false">IF(TRIM(A63)="","",IFERROR(MID(SUBSTITUTE(SUBSTITUTE(A63,CHAR(10)," "),CHAR(13)," "),FIND(" MT"," "&amp;SUBSTITUTE(SUBSTITUTE(A63,CHAR(10)," "),CHAR(13)," ")),FIND(" ",SUBSTITUTE(SUBSTITUTE(A63,CHAR(10)," "),CHAR(13)," ")&amp;" ",FIND(" MT"," "&amp;SUBSTITUTE(SUBSTITUTE(A63,CHAR(10)," "),CHAR(13)," ")))-FIND(" MT"," "&amp;SUBSTITUTE(SUBSTITUTE(A63,CHAR(10)," "),CHAR(13)," "))),"MT no encontrado"))</f>
        <v/>
      </c>
      <c r="C63" s="15" t="str">
        <f aca="false">IF(TRIM(A63)="","",IF(D63="",FALSE(),SUBSTITUTE(SUBSTITUTE(SUBSTITUTE(D63,".",""),"0",""),"-","")&lt;&gt;""))</f>
        <v/>
      </c>
      <c r="D63" s="14" t="str">
        <f aca="false">IF(TRIM(A63)="","",IFERROR(MID((" "&amp;LEFT(SUBSTITUTE(A63,CHAR(13),""),FIND(CHAR(10),SUBSTITUTE(A63,CHAR(13),"")&amp;CHAR(10))-1)),(FIND("~",SUBSTITUTE(LEFT((" "&amp;LEFT(SUBSTITUTE(A63,CHAR(13),""),FIND(CHAR(10),SUBSTITUTE(A63,CHAR(13),"")&amp;CHAR(10))-1)),FIND(".",(" "&amp;LEFT(SUBSTITUTE(A63,CHAR(13),""),FIND(CHAR(10),SUBSTITUTE(A63,CHAR(13),"")&amp;CHAR(10))-1))))," ","~",LEN(LEFT((" "&amp;LEFT(SUBSTITUTE(A63,CHAR(13),""),FIND(CHAR(10),SUBSTITUTE(A63,CHAR(13),"")&amp;CHAR(10))-1)),FIND(".",(" "&amp;LEFT(SUBSTITUTE(A63,CHAR(13),""),FIND(CHAR(10),SUBSTITUTE(A63,CHAR(13),"")&amp;CHAR(10))-1)))))-LEN(SUBSTITUTE(LEFT((" "&amp;LEFT(SUBSTITUTE(A63,CHAR(13),""),FIND(CHAR(10),SUBSTITUTE(A63,CHAR(13),"")&amp;CHAR(10))-1)),FIND(".",(" "&amp;LEFT(SUBSTITUTE(A63,CHAR(13),""),FIND(CHAR(10),SUBSTITUTE(A63,CHAR(13),"")&amp;CHAR(10))-1))))," ",""))))+1),FIND(" ",(" "&amp;LEFT(SUBSTITUTE(A63,CHAR(13),""),FIND(CHAR(10),SUBSTITUTE(A63,CHAR(13),"")&amp;CHAR(10))-1))&amp;" ",FIND(".",(" "&amp;LEFT(SUBSTITUTE(A63,CHAR(13),""),FIND(CHAR(10),SUBSTITUTE(A63,CHAR(13),"")&amp;CHAR(10))-1))))-(FIND("~",SUBSTITUTE(LEFT((" "&amp;LEFT(SUBSTITUTE(A63,CHAR(13),""),FIND(CHAR(10),SUBSTITUTE(A63,CHAR(13),"")&amp;CHAR(10))-1)),FIND(".",(" "&amp;LEFT(SUBSTITUTE(A63,CHAR(13),""),FIND(CHAR(10),SUBSTITUTE(A63,CHAR(13),"")&amp;CHAR(10))-1))))," ","~",LEN(LEFT((" "&amp;LEFT(SUBSTITUTE(A63,CHAR(13),""),FIND(CHAR(10),SUBSTITUTE(A63,CHAR(13),"")&amp;CHAR(10))-1)),FIND(".",(" "&amp;LEFT(SUBSTITUTE(A63,CHAR(13),""),FIND(CHAR(10),SUBSTITUTE(A63,CHAR(13),"")&amp;CHAR(10))-1)))))-LEN(SUBSTITUTE(LEFT((" "&amp;LEFT(SUBSTITUTE(A63,CHAR(13),""),FIND(CHAR(10),SUBSTITUTE(A63,CHAR(13),"")&amp;CHAR(10))-1)),FIND(".",(" "&amp;LEFT(SUBSTITUTE(A63,CHAR(13),""),FIND(CHAR(10),SUBSTITUTE(A63,CHAR(13),"")&amp;CHAR(10))-1))))," ",""))))+1)),""))</f>
        <v/>
      </c>
    </row>
    <row r="64" customFormat="false" ht="30" hidden="false" customHeight="true" outlineLevel="0" collapsed="false">
      <c r="A64" s="11" t="str">
        <f aca="false">IFERROR(INDEX(Pegar!$A$3:$A$1002,MATCH(60,Pegar!$B$3:$B$1002,0))&amp;IF(LEFT(INDEX(Pegar!$A$3:$A$1003,MATCH(60,Pegar!$B$3:$B$1002,0)+1),5)="DESC=",CHAR(10)&amp;INDEX(Pegar!$A$3:$A$1003,MATCH(60,Pegar!$B$3:$B$1002,0)+1),""),"")</f>
        <v/>
      </c>
      <c r="B64" s="12" t="str">
        <f aca="false">IF(TRIM(A64)="","",IFERROR(MID(SUBSTITUTE(SUBSTITUTE(A64,CHAR(10)," "),CHAR(13)," "),FIND(" MT"," "&amp;SUBSTITUTE(SUBSTITUTE(A64,CHAR(10)," "),CHAR(13)," ")),FIND(" ",SUBSTITUTE(SUBSTITUTE(A64,CHAR(10)," "),CHAR(13)," ")&amp;" ",FIND(" MT"," "&amp;SUBSTITUTE(SUBSTITUTE(A64,CHAR(10)," "),CHAR(13)," ")))-FIND(" MT"," "&amp;SUBSTITUTE(SUBSTITUTE(A64,CHAR(10)," "),CHAR(13)," "))),"MT no encontrado"))</f>
        <v/>
      </c>
      <c r="C64" s="15" t="str">
        <f aca="false">IF(TRIM(A64)="","",IF(D64="",FALSE(),SUBSTITUTE(SUBSTITUTE(SUBSTITUTE(D64,".",""),"0",""),"-","")&lt;&gt;""))</f>
        <v/>
      </c>
      <c r="D64" s="14" t="str">
        <f aca="false">IF(TRIM(A64)="","",IFERROR(MID((" "&amp;LEFT(SUBSTITUTE(A64,CHAR(13),""),FIND(CHAR(10),SUBSTITUTE(A64,CHAR(13),"")&amp;CHAR(10))-1)),(FIND("~",SUBSTITUTE(LEFT((" "&amp;LEFT(SUBSTITUTE(A64,CHAR(13),""),FIND(CHAR(10),SUBSTITUTE(A64,CHAR(13),"")&amp;CHAR(10))-1)),FIND(".",(" "&amp;LEFT(SUBSTITUTE(A64,CHAR(13),""),FIND(CHAR(10),SUBSTITUTE(A64,CHAR(13),"")&amp;CHAR(10))-1))))," ","~",LEN(LEFT((" "&amp;LEFT(SUBSTITUTE(A64,CHAR(13),""),FIND(CHAR(10),SUBSTITUTE(A64,CHAR(13),"")&amp;CHAR(10))-1)),FIND(".",(" "&amp;LEFT(SUBSTITUTE(A64,CHAR(13),""),FIND(CHAR(10),SUBSTITUTE(A64,CHAR(13),"")&amp;CHAR(10))-1)))))-LEN(SUBSTITUTE(LEFT((" "&amp;LEFT(SUBSTITUTE(A64,CHAR(13),""),FIND(CHAR(10),SUBSTITUTE(A64,CHAR(13),"")&amp;CHAR(10))-1)),FIND(".",(" "&amp;LEFT(SUBSTITUTE(A64,CHAR(13),""),FIND(CHAR(10),SUBSTITUTE(A64,CHAR(13),"")&amp;CHAR(10))-1))))," ",""))))+1),FIND(" ",(" "&amp;LEFT(SUBSTITUTE(A64,CHAR(13),""),FIND(CHAR(10),SUBSTITUTE(A64,CHAR(13),"")&amp;CHAR(10))-1))&amp;" ",FIND(".",(" "&amp;LEFT(SUBSTITUTE(A64,CHAR(13),""),FIND(CHAR(10),SUBSTITUTE(A64,CHAR(13),"")&amp;CHAR(10))-1))))-(FIND("~",SUBSTITUTE(LEFT((" "&amp;LEFT(SUBSTITUTE(A64,CHAR(13),""),FIND(CHAR(10),SUBSTITUTE(A64,CHAR(13),"")&amp;CHAR(10))-1)),FIND(".",(" "&amp;LEFT(SUBSTITUTE(A64,CHAR(13),""),FIND(CHAR(10),SUBSTITUTE(A64,CHAR(13),"")&amp;CHAR(10))-1))))," ","~",LEN(LEFT((" "&amp;LEFT(SUBSTITUTE(A64,CHAR(13),""),FIND(CHAR(10),SUBSTITUTE(A64,CHAR(13),"")&amp;CHAR(10))-1)),FIND(".",(" "&amp;LEFT(SUBSTITUTE(A64,CHAR(13),""),FIND(CHAR(10),SUBSTITUTE(A64,CHAR(13),"")&amp;CHAR(10))-1)))))-LEN(SUBSTITUTE(LEFT((" "&amp;LEFT(SUBSTITUTE(A64,CHAR(13),""),FIND(CHAR(10),SUBSTITUTE(A64,CHAR(13),"")&amp;CHAR(10))-1)),FIND(".",(" "&amp;LEFT(SUBSTITUTE(A64,CHAR(13),""),FIND(CHAR(10),SUBSTITUTE(A64,CHAR(13),"")&amp;CHAR(10))-1))))," ",""))))+1)),""))</f>
        <v/>
      </c>
    </row>
    <row r="65" customFormat="false" ht="30" hidden="false" customHeight="true" outlineLevel="0" collapsed="false">
      <c r="A65" s="11" t="str">
        <f aca="false">IFERROR(INDEX(Pegar!$A$3:$A$1002,MATCH(61,Pegar!$B$3:$B$1002,0))&amp;IF(LEFT(INDEX(Pegar!$A$3:$A$1003,MATCH(61,Pegar!$B$3:$B$1002,0)+1),5)="DESC=",CHAR(10)&amp;INDEX(Pegar!$A$3:$A$1003,MATCH(61,Pegar!$B$3:$B$1002,0)+1),""),"")</f>
        <v/>
      </c>
      <c r="B65" s="12" t="str">
        <f aca="false">IF(TRIM(A65)="","",IFERROR(MID(SUBSTITUTE(SUBSTITUTE(A65,CHAR(10)," "),CHAR(13)," "),FIND(" MT"," "&amp;SUBSTITUTE(SUBSTITUTE(A65,CHAR(10)," "),CHAR(13)," ")),FIND(" ",SUBSTITUTE(SUBSTITUTE(A65,CHAR(10)," "),CHAR(13)," ")&amp;" ",FIND(" MT"," "&amp;SUBSTITUTE(SUBSTITUTE(A65,CHAR(10)," "),CHAR(13)," ")))-FIND(" MT"," "&amp;SUBSTITUTE(SUBSTITUTE(A65,CHAR(10)," "),CHAR(13)," "))),"MT no encontrado"))</f>
        <v/>
      </c>
      <c r="C65" s="15" t="str">
        <f aca="false">IF(TRIM(A65)="","",IF(D65="",FALSE(),SUBSTITUTE(SUBSTITUTE(SUBSTITUTE(D65,".",""),"0",""),"-","")&lt;&gt;""))</f>
        <v/>
      </c>
      <c r="D65" s="14" t="str">
        <f aca="false">IF(TRIM(A65)="","",IFERROR(MID((" "&amp;LEFT(SUBSTITUTE(A65,CHAR(13),""),FIND(CHAR(10),SUBSTITUTE(A65,CHAR(13),"")&amp;CHAR(10))-1)),(FIND("~",SUBSTITUTE(LEFT((" "&amp;LEFT(SUBSTITUTE(A65,CHAR(13),""),FIND(CHAR(10),SUBSTITUTE(A65,CHAR(13),"")&amp;CHAR(10))-1)),FIND(".",(" "&amp;LEFT(SUBSTITUTE(A65,CHAR(13),""),FIND(CHAR(10),SUBSTITUTE(A65,CHAR(13),"")&amp;CHAR(10))-1))))," ","~",LEN(LEFT((" "&amp;LEFT(SUBSTITUTE(A65,CHAR(13),""),FIND(CHAR(10),SUBSTITUTE(A65,CHAR(13),"")&amp;CHAR(10))-1)),FIND(".",(" "&amp;LEFT(SUBSTITUTE(A65,CHAR(13),""),FIND(CHAR(10),SUBSTITUTE(A65,CHAR(13),"")&amp;CHAR(10))-1)))))-LEN(SUBSTITUTE(LEFT((" "&amp;LEFT(SUBSTITUTE(A65,CHAR(13),""),FIND(CHAR(10),SUBSTITUTE(A65,CHAR(13),"")&amp;CHAR(10))-1)),FIND(".",(" "&amp;LEFT(SUBSTITUTE(A65,CHAR(13),""),FIND(CHAR(10),SUBSTITUTE(A65,CHAR(13),"")&amp;CHAR(10))-1))))," ",""))))+1),FIND(" ",(" "&amp;LEFT(SUBSTITUTE(A65,CHAR(13),""),FIND(CHAR(10),SUBSTITUTE(A65,CHAR(13),"")&amp;CHAR(10))-1))&amp;" ",FIND(".",(" "&amp;LEFT(SUBSTITUTE(A65,CHAR(13),""),FIND(CHAR(10),SUBSTITUTE(A65,CHAR(13),"")&amp;CHAR(10))-1))))-(FIND("~",SUBSTITUTE(LEFT((" "&amp;LEFT(SUBSTITUTE(A65,CHAR(13),""),FIND(CHAR(10),SUBSTITUTE(A65,CHAR(13),"")&amp;CHAR(10))-1)),FIND(".",(" "&amp;LEFT(SUBSTITUTE(A65,CHAR(13),""),FIND(CHAR(10),SUBSTITUTE(A65,CHAR(13),"")&amp;CHAR(10))-1))))," ","~",LEN(LEFT((" "&amp;LEFT(SUBSTITUTE(A65,CHAR(13),""),FIND(CHAR(10),SUBSTITUTE(A65,CHAR(13),"")&amp;CHAR(10))-1)),FIND(".",(" "&amp;LEFT(SUBSTITUTE(A65,CHAR(13),""),FIND(CHAR(10),SUBSTITUTE(A65,CHAR(13),"")&amp;CHAR(10))-1)))))-LEN(SUBSTITUTE(LEFT((" "&amp;LEFT(SUBSTITUTE(A65,CHAR(13),""),FIND(CHAR(10),SUBSTITUTE(A65,CHAR(13),"")&amp;CHAR(10))-1)),FIND(".",(" "&amp;LEFT(SUBSTITUTE(A65,CHAR(13),""),FIND(CHAR(10),SUBSTITUTE(A65,CHAR(13),"")&amp;CHAR(10))-1))))," ",""))))+1)),""))</f>
        <v/>
      </c>
    </row>
    <row r="66" customFormat="false" ht="30" hidden="false" customHeight="true" outlineLevel="0" collapsed="false">
      <c r="A66" s="11" t="str">
        <f aca="false">IFERROR(INDEX(Pegar!$A$3:$A$1002,MATCH(62,Pegar!$B$3:$B$1002,0))&amp;IF(LEFT(INDEX(Pegar!$A$3:$A$1003,MATCH(62,Pegar!$B$3:$B$1002,0)+1),5)="DESC=",CHAR(10)&amp;INDEX(Pegar!$A$3:$A$1003,MATCH(62,Pegar!$B$3:$B$1002,0)+1),""),"")</f>
        <v/>
      </c>
      <c r="B66" s="12" t="str">
        <f aca="false">IF(TRIM(A66)="","",IFERROR(MID(SUBSTITUTE(SUBSTITUTE(A66,CHAR(10)," "),CHAR(13)," "),FIND(" MT"," "&amp;SUBSTITUTE(SUBSTITUTE(A66,CHAR(10)," "),CHAR(13)," ")),FIND(" ",SUBSTITUTE(SUBSTITUTE(A66,CHAR(10)," "),CHAR(13)," ")&amp;" ",FIND(" MT"," "&amp;SUBSTITUTE(SUBSTITUTE(A66,CHAR(10)," "),CHAR(13)," ")))-FIND(" MT"," "&amp;SUBSTITUTE(SUBSTITUTE(A66,CHAR(10)," "),CHAR(13)," "))),"MT no encontrado"))</f>
        <v/>
      </c>
      <c r="C66" s="15" t="str">
        <f aca="false">IF(TRIM(A66)="","",IF(D66="",FALSE(),SUBSTITUTE(SUBSTITUTE(SUBSTITUTE(D66,".",""),"0",""),"-","")&lt;&gt;""))</f>
        <v/>
      </c>
      <c r="D66" s="14" t="str">
        <f aca="false">IF(TRIM(A66)="","",IFERROR(MID((" "&amp;LEFT(SUBSTITUTE(A66,CHAR(13),""),FIND(CHAR(10),SUBSTITUTE(A66,CHAR(13),"")&amp;CHAR(10))-1)),(FIND("~",SUBSTITUTE(LEFT((" "&amp;LEFT(SUBSTITUTE(A66,CHAR(13),""),FIND(CHAR(10),SUBSTITUTE(A66,CHAR(13),"")&amp;CHAR(10))-1)),FIND(".",(" "&amp;LEFT(SUBSTITUTE(A66,CHAR(13),""),FIND(CHAR(10),SUBSTITUTE(A66,CHAR(13),"")&amp;CHAR(10))-1))))," ","~",LEN(LEFT((" "&amp;LEFT(SUBSTITUTE(A66,CHAR(13),""),FIND(CHAR(10),SUBSTITUTE(A66,CHAR(13),"")&amp;CHAR(10))-1)),FIND(".",(" "&amp;LEFT(SUBSTITUTE(A66,CHAR(13),""),FIND(CHAR(10),SUBSTITUTE(A66,CHAR(13),"")&amp;CHAR(10))-1)))))-LEN(SUBSTITUTE(LEFT((" "&amp;LEFT(SUBSTITUTE(A66,CHAR(13),""),FIND(CHAR(10),SUBSTITUTE(A66,CHAR(13),"")&amp;CHAR(10))-1)),FIND(".",(" "&amp;LEFT(SUBSTITUTE(A66,CHAR(13),""),FIND(CHAR(10),SUBSTITUTE(A66,CHAR(13),"")&amp;CHAR(10))-1))))," ",""))))+1),FIND(" ",(" "&amp;LEFT(SUBSTITUTE(A66,CHAR(13),""),FIND(CHAR(10),SUBSTITUTE(A66,CHAR(13),"")&amp;CHAR(10))-1))&amp;" ",FIND(".",(" "&amp;LEFT(SUBSTITUTE(A66,CHAR(13),""),FIND(CHAR(10),SUBSTITUTE(A66,CHAR(13),"")&amp;CHAR(10))-1))))-(FIND("~",SUBSTITUTE(LEFT((" "&amp;LEFT(SUBSTITUTE(A66,CHAR(13),""),FIND(CHAR(10),SUBSTITUTE(A66,CHAR(13),"")&amp;CHAR(10))-1)),FIND(".",(" "&amp;LEFT(SUBSTITUTE(A66,CHAR(13),""),FIND(CHAR(10),SUBSTITUTE(A66,CHAR(13),"")&amp;CHAR(10))-1))))," ","~",LEN(LEFT((" "&amp;LEFT(SUBSTITUTE(A66,CHAR(13),""),FIND(CHAR(10),SUBSTITUTE(A66,CHAR(13),"")&amp;CHAR(10))-1)),FIND(".",(" "&amp;LEFT(SUBSTITUTE(A66,CHAR(13),""),FIND(CHAR(10),SUBSTITUTE(A66,CHAR(13),"")&amp;CHAR(10))-1)))))-LEN(SUBSTITUTE(LEFT((" "&amp;LEFT(SUBSTITUTE(A66,CHAR(13),""),FIND(CHAR(10),SUBSTITUTE(A66,CHAR(13),"")&amp;CHAR(10))-1)),FIND(".",(" "&amp;LEFT(SUBSTITUTE(A66,CHAR(13),""),FIND(CHAR(10),SUBSTITUTE(A66,CHAR(13),"")&amp;CHAR(10))-1))))," ",""))))+1)),""))</f>
        <v/>
      </c>
    </row>
    <row r="67" customFormat="false" ht="30" hidden="false" customHeight="true" outlineLevel="0" collapsed="false">
      <c r="A67" s="11" t="str">
        <f aca="false">IFERROR(INDEX(Pegar!$A$3:$A$1002,MATCH(63,Pegar!$B$3:$B$1002,0))&amp;IF(LEFT(INDEX(Pegar!$A$3:$A$1003,MATCH(63,Pegar!$B$3:$B$1002,0)+1),5)="DESC=",CHAR(10)&amp;INDEX(Pegar!$A$3:$A$1003,MATCH(63,Pegar!$B$3:$B$1002,0)+1),""),"")</f>
        <v/>
      </c>
      <c r="B67" s="12" t="str">
        <f aca="false">IF(TRIM(A67)="","",IFERROR(MID(SUBSTITUTE(SUBSTITUTE(A67,CHAR(10)," "),CHAR(13)," "),FIND(" MT"," "&amp;SUBSTITUTE(SUBSTITUTE(A67,CHAR(10)," "),CHAR(13)," ")),FIND(" ",SUBSTITUTE(SUBSTITUTE(A67,CHAR(10)," "),CHAR(13)," ")&amp;" ",FIND(" MT"," "&amp;SUBSTITUTE(SUBSTITUTE(A67,CHAR(10)," "),CHAR(13)," ")))-FIND(" MT"," "&amp;SUBSTITUTE(SUBSTITUTE(A67,CHAR(10)," "),CHAR(13)," "))),"MT no encontrado"))</f>
        <v/>
      </c>
      <c r="C67" s="15" t="str">
        <f aca="false">IF(TRIM(A67)="","",IF(D67="",FALSE(),SUBSTITUTE(SUBSTITUTE(SUBSTITUTE(D67,".",""),"0",""),"-","")&lt;&gt;""))</f>
        <v/>
      </c>
      <c r="D67" s="14" t="str">
        <f aca="false">IF(TRIM(A67)="","",IFERROR(MID((" "&amp;LEFT(SUBSTITUTE(A67,CHAR(13),""),FIND(CHAR(10),SUBSTITUTE(A67,CHAR(13),"")&amp;CHAR(10))-1)),(FIND("~",SUBSTITUTE(LEFT((" "&amp;LEFT(SUBSTITUTE(A67,CHAR(13),""),FIND(CHAR(10),SUBSTITUTE(A67,CHAR(13),"")&amp;CHAR(10))-1)),FIND(".",(" "&amp;LEFT(SUBSTITUTE(A67,CHAR(13),""),FIND(CHAR(10),SUBSTITUTE(A67,CHAR(13),"")&amp;CHAR(10))-1))))," ","~",LEN(LEFT((" "&amp;LEFT(SUBSTITUTE(A67,CHAR(13),""),FIND(CHAR(10),SUBSTITUTE(A67,CHAR(13),"")&amp;CHAR(10))-1)),FIND(".",(" "&amp;LEFT(SUBSTITUTE(A67,CHAR(13),""),FIND(CHAR(10),SUBSTITUTE(A67,CHAR(13),"")&amp;CHAR(10))-1)))))-LEN(SUBSTITUTE(LEFT((" "&amp;LEFT(SUBSTITUTE(A67,CHAR(13),""),FIND(CHAR(10),SUBSTITUTE(A67,CHAR(13),"")&amp;CHAR(10))-1)),FIND(".",(" "&amp;LEFT(SUBSTITUTE(A67,CHAR(13),""),FIND(CHAR(10),SUBSTITUTE(A67,CHAR(13),"")&amp;CHAR(10))-1))))," ",""))))+1),FIND(" ",(" "&amp;LEFT(SUBSTITUTE(A67,CHAR(13),""),FIND(CHAR(10),SUBSTITUTE(A67,CHAR(13),"")&amp;CHAR(10))-1))&amp;" ",FIND(".",(" "&amp;LEFT(SUBSTITUTE(A67,CHAR(13),""),FIND(CHAR(10),SUBSTITUTE(A67,CHAR(13),"")&amp;CHAR(10))-1))))-(FIND("~",SUBSTITUTE(LEFT((" "&amp;LEFT(SUBSTITUTE(A67,CHAR(13),""),FIND(CHAR(10),SUBSTITUTE(A67,CHAR(13),"")&amp;CHAR(10))-1)),FIND(".",(" "&amp;LEFT(SUBSTITUTE(A67,CHAR(13),""),FIND(CHAR(10),SUBSTITUTE(A67,CHAR(13),"")&amp;CHAR(10))-1))))," ","~",LEN(LEFT((" "&amp;LEFT(SUBSTITUTE(A67,CHAR(13),""),FIND(CHAR(10),SUBSTITUTE(A67,CHAR(13),"")&amp;CHAR(10))-1)),FIND(".",(" "&amp;LEFT(SUBSTITUTE(A67,CHAR(13),""),FIND(CHAR(10),SUBSTITUTE(A67,CHAR(13),"")&amp;CHAR(10))-1)))))-LEN(SUBSTITUTE(LEFT((" "&amp;LEFT(SUBSTITUTE(A67,CHAR(13),""),FIND(CHAR(10),SUBSTITUTE(A67,CHAR(13),"")&amp;CHAR(10))-1)),FIND(".",(" "&amp;LEFT(SUBSTITUTE(A67,CHAR(13),""),FIND(CHAR(10),SUBSTITUTE(A67,CHAR(13),"")&amp;CHAR(10))-1))))," ",""))))+1)),""))</f>
        <v/>
      </c>
    </row>
    <row r="68" customFormat="false" ht="30" hidden="false" customHeight="true" outlineLevel="0" collapsed="false">
      <c r="A68" s="11" t="str">
        <f aca="false">IFERROR(INDEX(Pegar!$A$3:$A$1002,MATCH(64,Pegar!$B$3:$B$1002,0))&amp;IF(LEFT(INDEX(Pegar!$A$3:$A$1003,MATCH(64,Pegar!$B$3:$B$1002,0)+1),5)="DESC=",CHAR(10)&amp;INDEX(Pegar!$A$3:$A$1003,MATCH(64,Pegar!$B$3:$B$1002,0)+1),""),"")</f>
        <v/>
      </c>
      <c r="B68" s="12" t="str">
        <f aca="false">IF(TRIM(A68)="","",IFERROR(MID(SUBSTITUTE(SUBSTITUTE(A68,CHAR(10)," "),CHAR(13)," "),FIND(" MT"," "&amp;SUBSTITUTE(SUBSTITUTE(A68,CHAR(10)," "),CHAR(13)," ")),FIND(" ",SUBSTITUTE(SUBSTITUTE(A68,CHAR(10)," "),CHAR(13)," ")&amp;" ",FIND(" MT"," "&amp;SUBSTITUTE(SUBSTITUTE(A68,CHAR(10)," "),CHAR(13)," ")))-FIND(" MT"," "&amp;SUBSTITUTE(SUBSTITUTE(A68,CHAR(10)," "),CHAR(13)," "))),"MT no encontrado"))</f>
        <v/>
      </c>
      <c r="C68" s="15" t="str">
        <f aca="false">IF(TRIM(A68)="","",IF(D68="",FALSE(),SUBSTITUTE(SUBSTITUTE(SUBSTITUTE(D68,".",""),"0",""),"-","")&lt;&gt;""))</f>
        <v/>
      </c>
      <c r="D68" s="14" t="str">
        <f aca="false">IF(TRIM(A68)="","",IFERROR(MID((" "&amp;LEFT(SUBSTITUTE(A68,CHAR(13),""),FIND(CHAR(10),SUBSTITUTE(A68,CHAR(13),"")&amp;CHAR(10))-1)),(FIND("~",SUBSTITUTE(LEFT((" "&amp;LEFT(SUBSTITUTE(A68,CHAR(13),""),FIND(CHAR(10),SUBSTITUTE(A68,CHAR(13),"")&amp;CHAR(10))-1)),FIND(".",(" "&amp;LEFT(SUBSTITUTE(A68,CHAR(13),""),FIND(CHAR(10),SUBSTITUTE(A68,CHAR(13),"")&amp;CHAR(10))-1))))," ","~",LEN(LEFT((" "&amp;LEFT(SUBSTITUTE(A68,CHAR(13),""),FIND(CHAR(10),SUBSTITUTE(A68,CHAR(13),"")&amp;CHAR(10))-1)),FIND(".",(" "&amp;LEFT(SUBSTITUTE(A68,CHAR(13),""),FIND(CHAR(10),SUBSTITUTE(A68,CHAR(13),"")&amp;CHAR(10))-1)))))-LEN(SUBSTITUTE(LEFT((" "&amp;LEFT(SUBSTITUTE(A68,CHAR(13),""),FIND(CHAR(10),SUBSTITUTE(A68,CHAR(13),"")&amp;CHAR(10))-1)),FIND(".",(" "&amp;LEFT(SUBSTITUTE(A68,CHAR(13),""),FIND(CHAR(10),SUBSTITUTE(A68,CHAR(13),"")&amp;CHAR(10))-1))))," ",""))))+1),FIND(" ",(" "&amp;LEFT(SUBSTITUTE(A68,CHAR(13),""),FIND(CHAR(10),SUBSTITUTE(A68,CHAR(13),"")&amp;CHAR(10))-1))&amp;" ",FIND(".",(" "&amp;LEFT(SUBSTITUTE(A68,CHAR(13),""),FIND(CHAR(10),SUBSTITUTE(A68,CHAR(13),"")&amp;CHAR(10))-1))))-(FIND("~",SUBSTITUTE(LEFT((" "&amp;LEFT(SUBSTITUTE(A68,CHAR(13),""),FIND(CHAR(10),SUBSTITUTE(A68,CHAR(13),"")&amp;CHAR(10))-1)),FIND(".",(" "&amp;LEFT(SUBSTITUTE(A68,CHAR(13),""),FIND(CHAR(10),SUBSTITUTE(A68,CHAR(13),"")&amp;CHAR(10))-1))))," ","~",LEN(LEFT((" "&amp;LEFT(SUBSTITUTE(A68,CHAR(13),""),FIND(CHAR(10),SUBSTITUTE(A68,CHAR(13),"")&amp;CHAR(10))-1)),FIND(".",(" "&amp;LEFT(SUBSTITUTE(A68,CHAR(13),""),FIND(CHAR(10),SUBSTITUTE(A68,CHAR(13),"")&amp;CHAR(10))-1)))))-LEN(SUBSTITUTE(LEFT((" "&amp;LEFT(SUBSTITUTE(A68,CHAR(13),""),FIND(CHAR(10),SUBSTITUTE(A68,CHAR(13),"")&amp;CHAR(10))-1)),FIND(".",(" "&amp;LEFT(SUBSTITUTE(A68,CHAR(13),""),FIND(CHAR(10),SUBSTITUTE(A68,CHAR(13),"")&amp;CHAR(10))-1))))," ",""))))+1)),""))</f>
        <v/>
      </c>
    </row>
    <row r="69" customFormat="false" ht="30" hidden="false" customHeight="true" outlineLevel="0" collapsed="false">
      <c r="A69" s="11" t="str">
        <f aca="false">IFERROR(INDEX(Pegar!$A$3:$A$1002,MATCH(65,Pegar!$B$3:$B$1002,0))&amp;IF(LEFT(INDEX(Pegar!$A$3:$A$1003,MATCH(65,Pegar!$B$3:$B$1002,0)+1),5)="DESC=",CHAR(10)&amp;INDEX(Pegar!$A$3:$A$1003,MATCH(65,Pegar!$B$3:$B$1002,0)+1),""),"")</f>
        <v/>
      </c>
      <c r="B69" s="12" t="str">
        <f aca="false">IF(TRIM(A69)="","",IFERROR(MID(SUBSTITUTE(SUBSTITUTE(A69,CHAR(10)," "),CHAR(13)," "),FIND(" MT"," "&amp;SUBSTITUTE(SUBSTITUTE(A69,CHAR(10)," "),CHAR(13)," ")),FIND(" ",SUBSTITUTE(SUBSTITUTE(A69,CHAR(10)," "),CHAR(13)," ")&amp;" ",FIND(" MT"," "&amp;SUBSTITUTE(SUBSTITUTE(A69,CHAR(10)," "),CHAR(13)," ")))-FIND(" MT"," "&amp;SUBSTITUTE(SUBSTITUTE(A69,CHAR(10)," "),CHAR(13)," "))),"MT no encontrado"))</f>
        <v/>
      </c>
      <c r="C69" s="15" t="str">
        <f aca="false">IF(TRIM(A69)="","",IF(D69="",FALSE(),SUBSTITUTE(SUBSTITUTE(SUBSTITUTE(D69,".",""),"0",""),"-","")&lt;&gt;""))</f>
        <v/>
      </c>
      <c r="D69" s="14" t="str">
        <f aca="false">IF(TRIM(A69)="","",IFERROR(MID((" "&amp;LEFT(SUBSTITUTE(A69,CHAR(13),""),FIND(CHAR(10),SUBSTITUTE(A69,CHAR(13),"")&amp;CHAR(10))-1)),(FIND("~",SUBSTITUTE(LEFT((" "&amp;LEFT(SUBSTITUTE(A69,CHAR(13),""),FIND(CHAR(10),SUBSTITUTE(A69,CHAR(13),"")&amp;CHAR(10))-1)),FIND(".",(" "&amp;LEFT(SUBSTITUTE(A69,CHAR(13),""),FIND(CHAR(10),SUBSTITUTE(A69,CHAR(13),"")&amp;CHAR(10))-1))))," ","~",LEN(LEFT((" "&amp;LEFT(SUBSTITUTE(A69,CHAR(13),""),FIND(CHAR(10),SUBSTITUTE(A69,CHAR(13),"")&amp;CHAR(10))-1)),FIND(".",(" "&amp;LEFT(SUBSTITUTE(A69,CHAR(13),""),FIND(CHAR(10),SUBSTITUTE(A69,CHAR(13),"")&amp;CHAR(10))-1)))))-LEN(SUBSTITUTE(LEFT((" "&amp;LEFT(SUBSTITUTE(A69,CHAR(13),""),FIND(CHAR(10),SUBSTITUTE(A69,CHAR(13),"")&amp;CHAR(10))-1)),FIND(".",(" "&amp;LEFT(SUBSTITUTE(A69,CHAR(13),""),FIND(CHAR(10),SUBSTITUTE(A69,CHAR(13),"")&amp;CHAR(10))-1))))," ",""))))+1),FIND(" ",(" "&amp;LEFT(SUBSTITUTE(A69,CHAR(13),""),FIND(CHAR(10),SUBSTITUTE(A69,CHAR(13),"")&amp;CHAR(10))-1))&amp;" ",FIND(".",(" "&amp;LEFT(SUBSTITUTE(A69,CHAR(13),""),FIND(CHAR(10),SUBSTITUTE(A69,CHAR(13),"")&amp;CHAR(10))-1))))-(FIND("~",SUBSTITUTE(LEFT((" "&amp;LEFT(SUBSTITUTE(A69,CHAR(13),""),FIND(CHAR(10),SUBSTITUTE(A69,CHAR(13),"")&amp;CHAR(10))-1)),FIND(".",(" "&amp;LEFT(SUBSTITUTE(A69,CHAR(13),""),FIND(CHAR(10),SUBSTITUTE(A69,CHAR(13),"")&amp;CHAR(10))-1))))," ","~",LEN(LEFT((" "&amp;LEFT(SUBSTITUTE(A69,CHAR(13),""),FIND(CHAR(10),SUBSTITUTE(A69,CHAR(13),"")&amp;CHAR(10))-1)),FIND(".",(" "&amp;LEFT(SUBSTITUTE(A69,CHAR(13),""),FIND(CHAR(10),SUBSTITUTE(A69,CHAR(13),"")&amp;CHAR(10))-1)))))-LEN(SUBSTITUTE(LEFT((" "&amp;LEFT(SUBSTITUTE(A69,CHAR(13),""),FIND(CHAR(10),SUBSTITUTE(A69,CHAR(13),"")&amp;CHAR(10))-1)),FIND(".",(" "&amp;LEFT(SUBSTITUTE(A69,CHAR(13),""),FIND(CHAR(10),SUBSTITUTE(A69,CHAR(13),"")&amp;CHAR(10))-1))))," ",""))))+1)),""))</f>
        <v/>
      </c>
    </row>
    <row r="70" customFormat="false" ht="30" hidden="false" customHeight="true" outlineLevel="0" collapsed="false">
      <c r="A70" s="11" t="str">
        <f aca="false">IFERROR(INDEX(Pegar!$A$3:$A$1002,MATCH(66,Pegar!$B$3:$B$1002,0))&amp;IF(LEFT(INDEX(Pegar!$A$3:$A$1003,MATCH(66,Pegar!$B$3:$B$1002,0)+1),5)="DESC=",CHAR(10)&amp;INDEX(Pegar!$A$3:$A$1003,MATCH(66,Pegar!$B$3:$B$1002,0)+1),""),"")</f>
        <v/>
      </c>
      <c r="B70" s="12" t="str">
        <f aca="false">IF(TRIM(A70)="","",IFERROR(MID(SUBSTITUTE(SUBSTITUTE(A70,CHAR(10)," "),CHAR(13)," "),FIND(" MT"," "&amp;SUBSTITUTE(SUBSTITUTE(A70,CHAR(10)," "),CHAR(13)," ")),FIND(" ",SUBSTITUTE(SUBSTITUTE(A70,CHAR(10)," "),CHAR(13)," ")&amp;" ",FIND(" MT"," "&amp;SUBSTITUTE(SUBSTITUTE(A70,CHAR(10)," "),CHAR(13)," ")))-FIND(" MT"," "&amp;SUBSTITUTE(SUBSTITUTE(A70,CHAR(10)," "),CHAR(13)," "))),"MT no encontrado"))</f>
        <v/>
      </c>
      <c r="C70" s="15" t="str">
        <f aca="false">IF(TRIM(A70)="","",IF(D70="",FALSE(),SUBSTITUTE(SUBSTITUTE(SUBSTITUTE(D70,".",""),"0",""),"-","")&lt;&gt;""))</f>
        <v/>
      </c>
      <c r="D70" s="14" t="str">
        <f aca="false">IF(TRIM(A70)="","",IFERROR(MID((" "&amp;LEFT(SUBSTITUTE(A70,CHAR(13),""),FIND(CHAR(10),SUBSTITUTE(A70,CHAR(13),"")&amp;CHAR(10))-1)),(FIND("~",SUBSTITUTE(LEFT((" "&amp;LEFT(SUBSTITUTE(A70,CHAR(13),""),FIND(CHAR(10),SUBSTITUTE(A70,CHAR(13),"")&amp;CHAR(10))-1)),FIND(".",(" "&amp;LEFT(SUBSTITUTE(A70,CHAR(13),""),FIND(CHAR(10),SUBSTITUTE(A70,CHAR(13),"")&amp;CHAR(10))-1))))," ","~",LEN(LEFT((" "&amp;LEFT(SUBSTITUTE(A70,CHAR(13),""),FIND(CHAR(10),SUBSTITUTE(A70,CHAR(13),"")&amp;CHAR(10))-1)),FIND(".",(" "&amp;LEFT(SUBSTITUTE(A70,CHAR(13),""),FIND(CHAR(10),SUBSTITUTE(A70,CHAR(13),"")&amp;CHAR(10))-1)))))-LEN(SUBSTITUTE(LEFT((" "&amp;LEFT(SUBSTITUTE(A70,CHAR(13),""),FIND(CHAR(10),SUBSTITUTE(A70,CHAR(13),"")&amp;CHAR(10))-1)),FIND(".",(" "&amp;LEFT(SUBSTITUTE(A70,CHAR(13),""),FIND(CHAR(10),SUBSTITUTE(A70,CHAR(13),"")&amp;CHAR(10))-1))))," ",""))))+1),FIND(" ",(" "&amp;LEFT(SUBSTITUTE(A70,CHAR(13),""),FIND(CHAR(10),SUBSTITUTE(A70,CHAR(13),"")&amp;CHAR(10))-1))&amp;" ",FIND(".",(" "&amp;LEFT(SUBSTITUTE(A70,CHAR(13),""),FIND(CHAR(10),SUBSTITUTE(A70,CHAR(13),"")&amp;CHAR(10))-1))))-(FIND("~",SUBSTITUTE(LEFT((" "&amp;LEFT(SUBSTITUTE(A70,CHAR(13),""),FIND(CHAR(10),SUBSTITUTE(A70,CHAR(13),"")&amp;CHAR(10))-1)),FIND(".",(" "&amp;LEFT(SUBSTITUTE(A70,CHAR(13),""),FIND(CHAR(10),SUBSTITUTE(A70,CHAR(13),"")&amp;CHAR(10))-1))))," ","~",LEN(LEFT((" "&amp;LEFT(SUBSTITUTE(A70,CHAR(13),""),FIND(CHAR(10),SUBSTITUTE(A70,CHAR(13),"")&amp;CHAR(10))-1)),FIND(".",(" "&amp;LEFT(SUBSTITUTE(A70,CHAR(13),""),FIND(CHAR(10),SUBSTITUTE(A70,CHAR(13),"")&amp;CHAR(10))-1)))))-LEN(SUBSTITUTE(LEFT((" "&amp;LEFT(SUBSTITUTE(A70,CHAR(13),""),FIND(CHAR(10),SUBSTITUTE(A70,CHAR(13),"")&amp;CHAR(10))-1)),FIND(".",(" "&amp;LEFT(SUBSTITUTE(A70,CHAR(13),""),FIND(CHAR(10),SUBSTITUTE(A70,CHAR(13),"")&amp;CHAR(10))-1))))," ",""))))+1)),""))</f>
        <v/>
      </c>
    </row>
    <row r="71" customFormat="false" ht="30" hidden="false" customHeight="true" outlineLevel="0" collapsed="false">
      <c r="A71" s="11" t="str">
        <f aca="false">IFERROR(INDEX(Pegar!$A$3:$A$1002,MATCH(67,Pegar!$B$3:$B$1002,0))&amp;IF(LEFT(INDEX(Pegar!$A$3:$A$1003,MATCH(67,Pegar!$B$3:$B$1002,0)+1),5)="DESC=",CHAR(10)&amp;INDEX(Pegar!$A$3:$A$1003,MATCH(67,Pegar!$B$3:$B$1002,0)+1),""),"")</f>
        <v/>
      </c>
      <c r="B71" s="12" t="str">
        <f aca="false">IF(TRIM(A71)="","",IFERROR(MID(SUBSTITUTE(SUBSTITUTE(A71,CHAR(10)," "),CHAR(13)," "),FIND(" MT"," "&amp;SUBSTITUTE(SUBSTITUTE(A71,CHAR(10)," "),CHAR(13)," ")),FIND(" ",SUBSTITUTE(SUBSTITUTE(A71,CHAR(10)," "),CHAR(13)," ")&amp;" ",FIND(" MT"," "&amp;SUBSTITUTE(SUBSTITUTE(A71,CHAR(10)," "),CHAR(13)," ")))-FIND(" MT"," "&amp;SUBSTITUTE(SUBSTITUTE(A71,CHAR(10)," "),CHAR(13)," "))),"MT no encontrado"))</f>
        <v/>
      </c>
      <c r="C71" s="15" t="str">
        <f aca="false">IF(TRIM(A71)="","",IF(D71="",FALSE(),SUBSTITUTE(SUBSTITUTE(SUBSTITUTE(D71,".",""),"0",""),"-","")&lt;&gt;""))</f>
        <v/>
      </c>
      <c r="D71" s="14" t="str">
        <f aca="false">IF(TRIM(A71)="","",IFERROR(MID((" "&amp;LEFT(SUBSTITUTE(A71,CHAR(13),""),FIND(CHAR(10),SUBSTITUTE(A71,CHAR(13),"")&amp;CHAR(10))-1)),(FIND("~",SUBSTITUTE(LEFT((" "&amp;LEFT(SUBSTITUTE(A71,CHAR(13),""),FIND(CHAR(10),SUBSTITUTE(A71,CHAR(13),"")&amp;CHAR(10))-1)),FIND(".",(" "&amp;LEFT(SUBSTITUTE(A71,CHAR(13),""),FIND(CHAR(10),SUBSTITUTE(A71,CHAR(13),"")&amp;CHAR(10))-1))))," ","~",LEN(LEFT((" "&amp;LEFT(SUBSTITUTE(A71,CHAR(13),""),FIND(CHAR(10),SUBSTITUTE(A71,CHAR(13),"")&amp;CHAR(10))-1)),FIND(".",(" "&amp;LEFT(SUBSTITUTE(A71,CHAR(13),""),FIND(CHAR(10),SUBSTITUTE(A71,CHAR(13),"")&amp;CHAR(10))-1)))))-LEN(SUBSTITUTE(LEFT((" "&amp;LEFT(SUBSTITUTE(A71,CHAR(13),""),FIND(CHAR(10),SUBSTITUTE(A71,CHAR(13),"")&amp;CHAR(10))-1)),FIND(".",(" "&amp;LEFT(SUBSTITUTE(A71,CHAR(13),""),FIND(CHAR(10),SUBSTITUTE(A71,CHAR(13),"")&amp;CHAR(10))-1))))," ",""))))+1),FIND(" ",(" "&amp;LEFT(SUBSTITUTE(A71,CHAR(13),""),FIND(CHAR(10),SUBSTITUTE(A71,CHAR(13),"")&amp;CHAR(10))-1))&amp;" ",FIND(".",(" "&amp;LEFT(SUBSTITUTE(A71,CHAR(13),""),FIND(CHAR(10),SUBSTITUTE(A71,CHAR(13),"")&amp;CHAR(10))-1))))-(FIND("~",SUBSTITUTE(LEFT((" "&amp;LEFT(SUBSTITUTE(A71,CHAR(13),""),FIND(CHAR(10),SUBSTITUTE(A71,CHAR(13),"")&amp;CHAR(10))-1)),FIND(".",(" "&amp;LEFT(SUBSTITUTE(A71,CHAR(13),""),FIND(CHAR(10),SUBSTITUTE(A71,CHAR(13),"")&amp;CHAR(10))-1))))," ","~",LEN(LEFT((" "&amp;LEFT(SUBSTITUTE(A71,CHAR(13),""),FIND(CHAR(10),SUBSTITUTE(A71,CHAR(13),"")&amp;CHAR(10))-1)),FIND(".",(" "&amp;LEFT(SUBSTITUTE(A71,CHAR(13),""),FIND(CHAR(10),SUBSTITUTE(A71,CHAR(13),"")&amp;CHAR(10))-1)))))-LEN(SUBSTITUTE(LEFT((" "&amp;LEFT(SUBSTITUTE(A71,CHAR(13),""),FIND(CHAR(10),SUBSTITUTE(A71,CHAR(13),"")&amp;CHAR(10))-1)),FIND(".",(" "&amp;LEFT(SUBSTITUTE(A71,CHAR(13),""),FIND(CHAR(10),SUBSTITUTE(A71,CHAR(13),"")&amp;CHAR(10))-1))))," ",""))))+1)),""))</f>
        <v/>
      </c>
    </row>
    <row r="72" customFormat="false" ht="30" hidden="false" customHeight="true" outlineLevel="0" collapsed="false">
      <c r="A72" s="11" t="str">
        <f aca="false">IFERROR(INDEX(Pegar!$A$3:$A$1002,MATCH(68,Pegar!$B$3:$B$1002,0))&amp;IF(LEFT(INDEX(Pegar!$A$3:$A$1003,MATCH(68,Pegar!$B$3:$B$1002,0)+1),5)="DESC=",CHAR(10)&amp;INDEX(Pegar!$A$3:$A$1003,MATCH(68,Pegar!$B$3:$B$1002,0)+1),""),"")</f>
        <v/>
      </c>
      <c r="B72" s="12" t="str">
        <f aca="false">IF(TRIM(A72)="","",IFERROR(MID(SUBSTITUTE(SUBSTITUTE(A72,CHAR(10)," "),CHAR(13)," "),FIND(" MT"," "&amp;SUBSTITUTE(SUBSTITUTE(A72,CHAR(10)," "),CHAR(13)," ")),FIND(" ",SUBSTITUTE(SUBSTITUTE(A72,CHAR(10)," "),CHAR(13)," ")&amp;" ",FIND(" MT"," "&amp;SUBSTITUTE(SUBSTITUTE(A72,CHAR(10)," "),CHAR(13)," ")))-FIND(" MT"," "&amp;SUBSTITUTE(SUBSTITUTE(A72,CHAR(10)," "),CHAR(13)," "))),"MT no encontrado"))</f>
        <v/>
      </c>
      <c r="C72" s="15" t="str">
        <f aca="false">IF(TRIM(A72)="","",IF(D72="",FALSE(),SUBSTITUTE(SUBSTITUTE(SUBSTITUTE(D72,".",""),"0",""),"-","")&lt;&gt;""))</f>
        <v/>
      </c>
      <c r="D72" s="14" t="str">
        <f aca="false">IF(TRIM(A72)="","",IFERROR(MID((" "&amp;LEFT(SUBSTITUTE(A72,CHAR(13),""),FIND(CHAR(10),SUBSTITUTE(A72,CHAR(13),"")&amp;CHAR(10))-1)),(FIND("~",SUBSTITUTE(LEFT((" "&amp;LEFT(SUBSTITUTE(A72,CHAR(13),""),FIND(CHAR(10),SUBSTITUTE(A72,CHAR(13),"")&amp;CHAR(10))-1)),FIND(".",(" "&amp;LEFT(SUBSTITUTE(A72,CHAR(13),""),FIND(CHAR(10),SUBSTITUTE(A72,CHAR(13),"")&amp;CHAR(10))-1))))," ","~",LEN(LEFT((" "&amp;LEFT(SUBSTITUTE(A72,CHAR(13),""),FIND(CHAR(10),SUBSTITUTE(A72,CHAR(13),"")&amp;CHAR(10))-1)),FIND(".",(" "&amp;LEFT(SUBSTITUTE(A72,CHAR(13),""),FIND(CHAR(10),SUBSTITUTE(A72,CHAR(13),"")&amp;CHAR(10))-1)))))-LEN(SUBSTITUTE(LEFT((" "&amp;LEFT(SUBSTITUTE(A72,CHAR(13),""),FIND(CHAR(10),SUBSTITUTE(A72,CHAR(13),"")&amp;CHAR(10))-1)),FIND(".",(" "&amp;LEFT(SUBSTITUTE(A72,CHAR(13),""),FIND(CHAR(10),SUBSTITUTE(A72,CHAR(13),"")&amp;CHAR(10))-1))))," ",""))))+1),FIND(" ",(" "&amp;LEFT(SUBSTITUTE(A72,CHAR(13),""),FIND(CHAR(10),SUBSTITUTE(A72,CHAR(13),"")&amp;CHAR(10))-1))&amp;" ",FIND(".",(" "&amp;LEFT(SUBSTITUTE(A72,CHAR(13),""),FIND(CHAR(10),SUBSTITUTE(A72,CHAR(13),"")&amp;CHAR(10))-1))))-(FIND("~",SUBSTITUTE(LEFT((" "&amp;LEFT(SUBSTITUTE(A72,CHAR(13),""),FIND(CHAR(10),SUBSTITUTE(A72,CHAR(13),"")&amp;CHAR(10))-1)),FIND(".",(" "&amp;LEFT(SUBSTITUTE(A72,CHAR(13),""),FIND(CHAR(10),SUBSTITUTE(A72,CHAR(13),"")&amp;CHAR(10))-1))))," ","~",LEN(LEFT((" "&amp;LEFT(SUBSTITUTE(A72,CHAR(13),""),FIND(CHAR(10),SUBSTITUTE(A72,CHAR(13),"")&amp;CHAR(10))-1)),FIND(".",(" "&amp;LEFT(SUBSTITUTE(A72,CHAR(13),""),FIND(CHAR(10),SUBSTITUTE(A72,CHAR(13),"")&amp;CHAR(10))-1)))))-LEN(SUBSTITUTE(LEFT((" "&amp;LEFT(SUBSTITUTE(A72,CHAR(13),""),FIND(CHAR(10),SUBSTITUTE(A72,CHAR(13),"")&amp;CHAR(10))-1)),FIND(".",(" "&amp;LEFT(SUBSTITUTE(A72,CHAR(13),""),FIND(CHAR(10),SUBSTITUTE(A72,CHAR(13),"")&amp;CHAR(10))-1))))," ",""))))+1)),""))</f>
        <v/>
      </c>
    </row>
    <row r="73" customFormat="false" ht="30" hidden="false" customHeight="true" outlineLevel="0" collapsed="false">
      <c r="A73" s="11" t="str">
        <f aca="false">IFERROR(INDEX(Pegar!$A$3:$A$1002,MATCH(69,Pegar!$B$3:$B$1002,0))&amp;IF(LEFT(INDEX(Pegar!$A$3:$A$1003,MATCH(69,Pegar!$B$3:$B$1002,0)+1),5)="DESC=",CHAR(10)&amp;INDEX(Pegar!$A$3:$A$1003,MATCH(69,Pegar!$B$3:$B$1002,0)+1),""),"")</f>
        <v/>
      </c>
      <c r="B73" s="12" t="str">
        <f aca="false">IF(TRIM(A73)="","",IFERROR(MID(SUBSTITUTE(SUBSTITUTE(A73,CHAR(10)," "),CHAR(13)," "),FIND(" MT"," "&amp;SUBSTITUTE(SUBSTITUTE(A73,CHAR(10)," "),CHAR(13)," ")),FIND(" ",SUBSTITUTE(SUBSTITUTE(A73,CHAR(10)," "),CHAR(13)," ")&amp;" ",FIND(" MT"," "&amp;SUBSTITUTE(SUBSTITUTE(A73,CHAR(10)," "),CHAR(13)," ")))-FIND(" MT"," "&amp;SUBSTITUTE(SUBSTITUTE(A73,CHAR(10)," "),CHAR(13)," "))),"MT no encontrado"))</f>
        <v/>
      </c>
      <c r="C73" s="15" t="str">
        <f aca="false">IF(TRIM(A73)="","",IF(D73="",FALSE(),SUBSTITUTE(SUBSTITUTE(SUBSTITUTE(D73,".",""),"0",""),"-","")&lt;&gt;""))</f>
        <v/>
      </c>
      <c r="D73" s="14" t="str">
        <f aca="false">IF(TRIM(A73)="","",IFERROR(MID((" "&amp;LEFT(SUBSTITUTE(A73,CHAR(13),""),FIND(CHAR(10),SUBSTITUTE(A73,CHAR(13),"")&amp;CHAR(10))-1)),(FIND("~",SUBSTITUTE(LEFT((" "&amp;LEFT(SUBSTITUTE(A73,CHAR(13),""),FIND(CHAR(10),SUBSTITUTE(A73,CHAR(13),"")&amp;CHAR(10))-1)),FIND(".",(" "&amp;LEFT(SUBSTITUTE(A73,CHAR(13),""),FIND(CHAR(10),SUBSTITUTE(A73,CHAR(13),"")&amp;CHAR(10))-1))))," ","~",LEN(LEFT((" "&amp;LEFT(SUBSTITUTE(A73,CHAR(13),""),FIND(CHAR(10),SUBSTITUTE(A73,CHAR(13),"")&amp;CHAR(10))-1)),FIND(".",(" "&amp;LEFT(SUBSTITUTE(A73,CHAR(13),""),FIND(CHAR(10),SUBSTITUTE(A73,CHAR(13),"")&amp;CHAR(10))-1)))))-LEN(SUBSTITUTE(LEFT((" "&amp;LEFT(SUBSTITUTE(A73,CHAR(13),""),FIND(CHAR(10),SUBSTITUTE(A73,CHAR(13),"")&amp;CHAR(10))-1)),FIND(".",(" "&amp;LEFT(SUBSTITUTE(A73,CHAR(13),""),FIND(CHAR(10),SUBSTITUTE(A73,CHAR(13),"")&amp;CHAR(10))-1))))," ",""))))+1),FIND(" ",(" "&amp;LEFT(SUBSTITUTE(A73,CHAR(13),""),FIND(CHAR(10),SUBSTITUTE(A73,CHAR(13),"")&amp;CHAR(10))-1))&amp;" ",FIND(".",(" "&amp;LEFT(SUBSTITUTE(A73,CHAR(13),""),FIND(CHAR(10),SUBSTITUTE(A73,CHAR(13),"")&amp;CHAR(10))-1))))-(FIND("~",SUBSTITUTE(LEFT((" "&amp;LEFT(SUBSTITUTE(A73,CHAR(13),""),FIND(CHAR(10),SUBSTITUTE(A73,CHAR(13),"")&amp;CHAR(10))-1)),FIND(".",(" "&amp;LEFT(SUBSTITUTE(A73,CHAR(13),""),FIND(CHAR(10),SUBSTITUTE(A73,CHAR(13),"")&amp;CHAR(10))-1))))," ","~",LEN(LEFT((" "&amp;LEFT(SUBSTITUTE(A73,CHAR(13),""),FIND(CHAR(10),SUBSTITUTE(A73,CHAR(13),"")&amp;CHAR(10))-1)),FIND(".",(" "&amp;LEFT(SUBSTITUTE(A73,CHAR(13),""),FIND(CHAR(10),SUBSTITUTE(A73,CHAR(13),"")&amp;CHAR(10))-1)))))-LEN(SUBSTITUTE(LEFT((" "&amp;LEFT(SUBSTITUTE(A73,CHAR(13),""),FIND(CHAR(10),SUBSTITUTE(A73,CHAR(13),"")&amp;CHAR(10))-1)),FIND(".",(" "&amp;LEFT(SUBSTITUTE(A73,CHAR(13),""),FIND(CHAR(10),SUBSTITUTE(A73,CHAR(13),"")&amp;CHAR(10))-1))))," ",""))))+1)),""))</f>
        <v/>
      </c>
    </row>
    <row r="74" customFormat="false" ht="30" hidden="false" customHeight="true" outlineLevel="0" collapsed="false">
      <c r="A74" s="11" t="str">
        <f aca="false">IFERROR(INDEX(Pegar!$A$3:$A$1002,MATCH(70,Pegar!$B$3:$B$1002,0))&amp;IF(LEFT(INDEX(Pegar!$A$3:$A$1003,MATCH(70,Pegar!$B$3:$B$1002,0)+1),5)="DESC=",CHAR(10)&amp;INDEX(Pegar!$A$3:$A$1003,MATCH(70,Pegar!$B$3:$B$1002,0)+1),""),"")</f>
        <v/>
      </c>
      <c r="B74" s="12" t="str">
        <f aca="false">IF(TRIM(A74)="","",IFERROR(MID(SUBSTITUTE(SUBSTITUTE(A74,CHAR(10)," "),CHAR(13)," "),FIND(" MT"," "&amp;SUBSTITUTE(SUBSTITUTE(A74,CHAR(10)," "),CHAR(13)," ")),FIND(" ",SUBSTITUTE(SUBSTITUTE(A74,CHAR(10)," "),CHAR(13)," ")&amp;" ",FIND(" MT"," "&amp;SUBSTITUTE(SUBSTITUTE(A74,CHAR(10)," "),CHAR(13)," ")))-FIND(" MT"," "&amp;SUBSTITUTE(SUBSTITUTE(A74,CHAR(10)," "),CHAR(13)," "))),"MT no encontrado"))</f>
        <v/>
      </c>
      <c r="C74" s="15" t="str">
        <f aca="false">IF(TRIM(A74)="","",IF(D74="",FALSE(),SUBSTITUTE(SUBSTITUTE(SUBSTITUTE(D74,".",""),"0",""),"-","")&lt;&gt;""))</f>
        <v/>
      </c>
      <c r="D74" s="14" t="str">
        <f aca="false">IF(TRIM(A74)="","",IFERROR(MID((" "&amp;LEFT(SUBSTITUTE(A74,CHAR(13),""),FIND(CHAR(10),SUBSTITUTE(A74,CHAR(13),"")&amp;CHAR(10))-1)),(FIND("~",SUBSTITUTE(LEFT((" "&amp;LEFT(SUBSTITUTE(A74,CHAR(13),""),FIND(CHAR(10),SUBSTITUTE(A74,CHAR(13),"")&amp;CHAR(10))-1)),FIND(".",(" "&amp;LEFT(SUBSTITUTE(A74,CHAR(13),""),FIND(CHAR(10),SUBSTITUTE(A74,CHAR(13),"")&amp;CHAR(10))-1))))," ","~",LEN(LEFT((" "&amp;LEFT(SUBSTITUTE(A74,CHAR(13),""),FIND(CHAR(10),SUBSTITUTE(A74,CHAR(13),"")&amp;CHAR(10))-1)),FIND(".",(" "&amp;LEFT(SUBSTITUTE(A74,CHAR(13),""),FIND(CHAR(10),SUBSTITUTE(A74,CHAR(13),"")&amp;CHAR(10))-1)))))-LEN(SUBSTITUTE(LEFT((" "&amp;LEFT(SUBSTITUTE(A74,CHAR(13),""),FIND(CHAR(10),SUBSTITUTE(A74,CHAR(13),"")&amp;CHAR(10))-1)),FIND(".",(" "&amp;LEFT(SUBSTITUTE(A74,CHAR(13),""),FIND(CHAR(10),SUBSTITUTE(A74,CHAR(13),"")&amp;CHAR(10))-1))))," ",""))))+1),FIND(" ",(" "&amp;LEFT(SUBSTITUTE(A74,CHAR(13),""),FIND(CHAR(10),SUBSTITUTE(A74,CHAR(13),"")&amp;CHAR(10))-1))&amp;" ",FIND(".",(" "&amp;LEFT(SUBSTITUTE(A74,CHAR(13),""),FIND(CHAR(10),SUBSTITUTE(A74,CHAR(13),"")&amp;CHAR(10))-1))))-(FIND("~",SUBSTITUTE(LEFT((" "&amp;LEFT(SUBSTITUTE(A74,CHAR(13),""),FIND(CHAR(10),SUBSTITUTE(A74,CHAR(13),"")&amp;CHAR(10))-1)),FIND(".",(" "&amp;LEFT(SUBSTITUTE(A74,CHAR(13),""),FIND(CHAR(10),SUBSTITUTE(A74,CHAR(13),"")&amp;CHAR(10))-1))))," ","~",LEN(LEFT((" "&amp;LEFT(SUBSTITUTE(A74,CHAR(13),""),FIND(CHAR(10),SUBSTITUTE(A74,CHAR(13),"")&amp;CHAR(10))-1)),FIND(".",(" "&amp;LEFT(SUBSTITUTE(A74,CHAR(13),""),FIND(CHAR(10),SUBSTITUTE(A74,CHAR(13),"")&amp;CHAR(10))-1)))))-LEN(SUBSTITUTE(LEFT((" "&amp;LEFT(SUBSTITUTE(A74,CHAR(13),""),FIND(CHAR(10),SUBSTITUTE(A74,CHAR(13),"")&amp;CHAR(10))-1)),FIND(".",(" "&amp;LEFT(SUBSTITUTE(A74,CHAR(13),""),FIND(CHAR(10),SUBSTITUTE(A74,CHAR(13),"")&amp;CHAR(10))-1))))," ",""))))+1)),""))</f>
        <v/>
      </c>
    </row>
    <row r="75" customFormat="false" ht="30" hidden="false" customHeight="true" outlineLevel="0" collapsed="false">
      <c r="A75" s="11" t="str">
        <f aca="false">IFERROR(INDEX(Pegar!$A$3:$A$1002,MATCH(71,Pegar!$B$3:$B$1002,0))&amp;IF(LEFT(INDEX(Pegar!$A$3:$A$1003,MATCH(71,Pegar!$B$3:$B$1002,0)+1),5)="DESC=",CHAR(10)&amp;INDEX(Pegar!$A$3:$A$1003,MATCH(71,Pegar!$B$3:$B$1002,0)+1),""),"")</f>
        <v/>
      </c>
      <c r="B75" s="12" t="str">
        <f aca="false">IF(TRIM(A75)="","",IFERROR(MID(SUBSTITUTE(SUBSTITUTE(A75,CHAR(10)," "),CHAR(13)," "),FIND(" MT"," "&amp;SUBSTITUTE(SUBSTITUTE(A75,CHAR(10)," "),CHAR(13)," ")),FIND(" ",SUBSTITUTE(SUBSTITUTE(A75,CHAR(10)," "),CHAR(13)," ")&amp;" ",FIND(" MT"," "&amp;SUBSTITUTE(SUBSTITUTE(A75,CHAR(10)," "),CHAR(13)," ")))-FIND(" MT"," "&amp;SUBSTITUTE(SUBSTITUTE(A75,CHAR(10)," "),CHAR(13)," "))),"MT no encontrado"))</f>
        <v/>
      </c>
      <c r="C75" s="15" t="str">
        <f aca="false">IF(TRIM(A75)="","",IF(D75="",FALSE(),SUBSTITUTE(SUBSTITUTE(SUBSTITUTE(D75,".",""),"0",""),"-","")&lt;&gt;""))</f>
        <v/>
      </c>
      <c r="D75" s="14" t="str">
        <f aca="false">IF(TRIM(A75)="","",IFERROR(MID((" "&amp;LEFT(SUBSTITUTE(A75,CHAR(13),""),FIND(CHAR(10),SUBSTITUTE(A75,CHAR(13),"")&amp;CHAR(10))-1)),(FIND("~",SUBSTITUTE(LEFT((" "&amp;LEFT(SUBSTITUTE(A75,CHAR(13),""),FIND(CHAR(10),SUBSTITUTE(A75,CHAR(13),"")&amp;CHAR(10))-1)),FIND(".",(" "&amp;LEFT(SUBSTITUTE(A75,CHAR(13),""),FIND(CHAR(10),SUBSTITUTE(A75,CHAR(13),"")&amp;CHAR(10))-1))))," ","~",LEN(LEFT((" "&amp;LEFT(SUBSTITUTE(A75,CHAR(13),""),FIND(CHAR(10),SUBSTITUTE(A75,CHAR(13),"")&amp;CHAR(10))-1)),FIND(".",(" "&amp;LEFT(SUBSTITUTE(A75,CHAR(13),""),FIND(CHAR(10),SUBSTITUTE(A75,CHAR(13),"")&amp;CHAR(10))-1)))))-LEN(SUBSTITUTE(LEFT((" "&amp;LEFT(SUBSTITUTE(A75,CHAR(13),""),FIND(CHAR(10),SUBSTITUTE(A75,CHAR(13),"")&amp;CHAR(10))-1)),FIND(".",(" "&amp;LEFT(SUBSTITUTE(A75,CHAR(13),""),FIND(CHAR(10),SUBSTITUTE(A75,CHAR(13),"")&amp;CHAR(10))-1))))," ",""))))+1),FIND(" ",(" "&amp;LEFT(SUBSTITUTE(A75,CHAR(13),""),FIND(CHAR(10),SUBSTITUTE(A75,CHAR(13),"")&amp;CHAR(10))-1))&amp;" ",FIND(".",(" "&amp;LEFT(SUBSTITUTE(A75,CHAR(13),""),FIND(CHAR(10),SUBSTITUTE(A75,CHAR(13),"")&amp;CHAR(10))-1))))-(FIND("~",SUBSTITUTE(LEFT((" "&amp;LEFT(SUBSTITUTE(A75,CHAR(13),""),FIND(CHAR(10),SUBSTITUTE(A75,CHAR(13),"")&amp;CHAR(10))-1)),FIND(".",(" "&amp;LEFT(SUBSTITUTE(A75,CHAR(13),""),FIND(CHAR(10),SUBSTITUTE(A75,CHAR(13),"")&amp;CHAR(10))-1))))," ","~",LEN(LEFT((" "&amp;LEFT(SUBSTITUTE(A75,CHAR(13),""),FIND(CHAR(10),SUBSTITUTE(A75,CHAR(13),"")&amp;CHAR(10))-1)),FIND(".",(" "&amp;LEFT(SUBSTITUTE(A75,CHAR(13),""),FIND(CHAR(10),SUBSTITUTE(A75,CHAR(13),"")&amp;CHAR(10))-1)))))-LEN(SUBSTITUTE(LEFT((" "&amp;LEFT(SUBSTITUTE(A75,CHAR(13),""),FIND(CHAR(10),SUBSTITUTE(A75,CHAR(13),"")&amp;CHAR(10))-1)),FIND(".",(" "&amp;LEFT(SUBSTITUTE(A75,CHAR(13),""),FIND(CHAR(10),SUBSTITUTE(A75,CHAR(13),"")&amp;CHAR(10))-1))))," ",""))))+1)),""))</f>
        <v/>
      </c>
    </row>
    <row r="76" customFormat="false" ht="30" hidden="false" customHeight="true" outlineLevel="0" collapsed="false">
      <c r="A76" s="11" t="str">
        <f aca="false">IFERROR(INDEX(Pegar!$A$3:$A$1002,MATCH(72,Pegar!$B$3:$B$1002,0))&amp;IF(LEFT(INDEX(Pegar!$A$3:$A$1003,MATCH(72,Pegar!$B$3:$B$1002,0)+1),5)="DESC=",CHAR(10)&amp;INDEX(Pegar!$A$3:$A$1003,MATCH(72,Pegar!$B$3:$B$1002,0)+1),""),"")</f>
        <v/>
      </c>
      <c r="B76" s="12" t="str">
        <f aca="false">IF(TRIM(A76)="","",IFERROR(MID(SUBSTITUTE(SUBSTITUTE(A76,CHAR(10)," "),CHAR(13)," "),FIND(" MT"," "&amp;SUBSTITUTE(SUBSTITUTE(A76,CHAR(10)," "),CHAR(13)," ")),FIND(" ",SUBSTITUTE(SUBSTITUTE(A76,CHAR(10)," "),CHAR(13)," ")&amp;" ",FIND(" MT"," "&amp;SUBSTITUTE(SUBSTITUTE(A76,CHAR(10)," "),CHAR(13)," ")))-FIND(" MT"," "&amp;SUBSTITUTE(SUBSTITUTE(A76,CHAR(10)," "),CHAR(13)," "))),"MT no encontrado"))</f>
        <v/>
      </c>
      <c r="C76" s="15" t="str">
        <f aca="false">IF(TRIM(A76)="","",IF(D76="",FALSE(),SUBSTITUTE(SUBSTITUTE(SUBSTITUTE(D76,".",""),"0",""),"-","")&lt;&gt;""))</f>
        <v/>
      </c>
      <c r="D76" s="14" t="str">
        <f aca="false">IF(TRIM(A76)="","",IFERROR(MID((" "&amp;LEFT(SUBSTITUTE(A76,CHAR(13),""),FIND(CHAR(10),SUBSTITUTE(A76,CHAR(13),"")&amp;CHAR(10))-1)),(FIND("~",SUBSTITUTE(LEFT((" "&amp;LEFT(SUBSTITUTE(A76,CHAR(13),""),FIND(CHAR(10),SUBSTITUTE(A76,CHAR(13),"")&amp;CHAR(10))-1)),FIND(".",(" "&amp;LEFT(SUBSTITUTE(A76,CHAR(13),""),FIND(CHAR(10),SUBSTITUTE(A76,CHAR(13),"")&amp;CHAR(10))-1))))," ","~",LEN(LEFT((" "&amp;LEFT(SUBSTITUTE(A76,CHAR(13),""),FIND(CHAR(10),SUBSTITUTE(A76,CHAR(13),"")&amp;CHAR(10))-1)),FIND(".",(" "&amp;LEFT(SUBSTITUTE(A76,CHAR(13),""),FIND(CHAR(10),SUBSTITUTE(A76,CHAR(13),"")&amp;CHAR(10))-1)))))-LEN(SUBSTITUTE(LEFT((" "&amp;LEFT(SUBSTITUTE(A76,CHAR(13),""),FIND(CHAR(10),SUBSTITUTE(A76,CHAR(13),"")&amp;CHAR(10))-1)),FIND(".",(" "&amp;LEFT(SUBSTITUTE(A76,CHAR(13),""),FIND(CHAR(10),SUBSTITUTE(A76,CHAR(13),"")&amp;CHAR(10))-1))))," ",""))))+1),FIND(" ",(" "&amp;LEFT(SUBSTITUTE(A76,CHAR(13),""),FIND(CHAR(10),SUBSTITUTE(A76,CHAR(13),"")&amp;CHAR(10))-1))&amp;" ",FIND(".",(" "&amp;LEFT(SUBSTITUTE(A76,CHAR(13),""),FIND(CHAR(10),SUBSTITUTE(A76,CHAR(13),"")&amp;CHAR(10))-1))))-(FIND("~",SUBSTITUTE(LEFT((" "&amp;LEFT(SUBSTITUTE(A76,CHAR(13),""),FIND(CHAR(10),SUBSTITUTE(A76,CHAR(13),"")&amp;CHAR(10))-1)),FIND(".",(" "&amp;LEFT(SUBSTITUTE(A76,CHAR(13),""),FIND(CHAR(10),SUBSTITUTE(A76,CHAR(13),"")&amp;CHAR(10))-1))))," ","~",LEN(LEFT((" "&amp;LEFT(SUBSTITUTE(A76,CHAR(13),""),FIND(CHAR(10),SUBSTITUTE(A76,CHAR(13),"")&amp;CHAR(10))-1)),FIND(".",(" "&amp;LEFT(SUBSTITUTE(A76,CHAR(13),""),FIND(CHAR(10),SUBSTITUTE(A76,CHAR(13),"")&amp;CHAR(10))-1)))))-LEN(SUBSTITUTE(LEFT((" "&amp;LEFT(SUBSTITUTE(A76,CHAR(13),""),FIND(CHAR(10),SUBSTITUTE(A76,CHAR(13),"")&amp;CHAR(10))-1)),FIND(".",(" "&amp;LEFT(SUBSTITUTE(A76,CHAR(13),""),FIND(CHAR(10),SUBSTITUTE(A76,CHAR(13),"")&amp;CHAR(10))-1))))," ",""))))+1)),""))</f>
        <v/>
      </c>
    </row>
    <row r="77" customFormat="false" ht="30" hidden="false" customHeight="true" outlineLevel="0" collapsed="false">
      <c r="A77" s="11" t="str">
        <f aca="false">IFERROR(INDEX(Pegar!$A$3:$A$1002,MATCH(73,Pegar!$B$3:$B$1002,0))&amp;IF(LEFT(INDEX(Pegar!$A$3:$A$1003,MATCH(73,Pegar!$B$3:$B$1002,0)+1),5)="DESC=",CHAR(10)&amp;INDEX(Pegar!$A$3:$A$1003,MATCH(73,Pegar!$B$3:$B$1002,0)+1),""),"")</f>
        <v/>
      </c>
      <c r="B77" s="12" t="str">
        <f aca="false">IF(TRIM(A77)="","",IFERROR(MID(SUBSTITUTE(SUBSTITUTE(A77,CHAR(10)," "),CHAR(13)," "),FIND(" MT"," "&amp;SUBSTITUTE(SUBSTITUTE(A77,CHAR(10)," "),CHAR(13)," ")),FIND(" ",SUBSTITUTE(SUBSTITUTE(A77,CHAR(10)," "),CHAR(13)," ")&amp;" ",FIND(" MT"," "&amp;SUBSTITUTE(SUBSTITUTE(A77,CHAR(10)," "),CHAR(13)," ")))-FIND(" MT"," "&amp;SUBSTITUTE(SUBSTITUTE(A77,CHAR(10)," "),CHAR(13)," "))),"MT no encontrado"))</f>
        <v/>
      </c>
      <c r="C77" s="15" t="str">
        <f aca="false">IF(TRIM(A77)="","",IF(D77="",FALSE(),SUBSTITUTE(SUBSTITUTE(SUBSTITUTE(D77,".",""),"0",""),"-","")&lt;&gt;""))</f>
        <v/>
      </c>
      <c r="D77" s="14" t="str">
        <f aca="false">IF(TRIM(A77)="","",IFERROR(MID((" "&amp;LEFT(SUBSTITUTE(A77,CHAR(13),""),FIND(CHAR(10),SUBSTITUTE(A77,CHAR(13),"")&amp;CHAR(10))-1)),(FIND("~",SUBSTITUTE(LEFT((" "&amp;LEFT(SUBSTITUTE(A77,CHAR(13),""),FIND(CHAR(10),SUBSTITUTE(A77,CHAR(13),"")&amp;CHAR(10))-1)),FIND(".",(" "&amp;LEFT(SUBSTITUTE(A77,CHAR(13),""),FIND(CHAR(10),SUBSTITUTE(A77,CHAR(13),"")&amp;CHAR(10))-1))))," ","~",LEN(LEFT((" "&amp;LEFT(SUBSTITUTE(A77,CHAR(13),""),FIND(CHAR(10),SUBSTITUTE(A77,CHAR(13),"")&amp;CHAR(10))-1)),FIND(".",(" "&amp;LEFT(SUBSTITUTE(A77,CHAR(13),""),FIND(CHAR(10),SUBSTITUTE(A77,CHAR(13),"")&amp;CHAR(10))-1)))))-LEN(SUBSTITUTE(LEFT((" "&amp;LEFT(SUBSTITUTE(A77,CHAR(13),""),FIND(CHAR(10),SUBSTITUTE(A77,CHAR(13),"")&amp;CHAR(10))-1)),FIND(".",(" "&amp;LEFT(SUBSTITUTE(A77,CHAR(13),""),FIND(CHAR(10),SUBSTITUTE(A77,CHAR(13),"")&amp;CHAR(10))-1))))," ",""))))+1),FIND(" ",(" "&amp;LEFT(SUBSTITUTE(A77,CHAR(13),""),FIND(CHAR(10),SUBSTITUTE(A77,CHAR(13),"")&amp;CHAR(10))-1))&amp;" ",FIND(".",(" "&amp;LEFT(SUBSTITUTE(A77,CHAR(13),""),FIND(CHAR(10),SUBSTITUTE(A77,CHAR(13),"")&amp;CHAR(10))-1))))-(FIND("~",SUBSTITUTE(LEFT((" "&amp;LEFT(SUBSTITUTE(A77,CHAR(13),""),FIND(CHAR(10),SUBSTITUTE(A77,CHAR(13),"")&amp;CHAR(10))-1)),FIND(".",(" "&amp;LEFT(SUBSTITUTE(A77,CHAR(13),""),FIND(CHAR(10),SUBSTITUTE(A77,CHAR(13),"")&amp;CHAR(10))-1))))," ","~",LEN(LEFT((" "&amp;LEFT(SUBSTITUTE(A77,CHAR(13),""),FIND(CHAR(10),SUBSTITUTE(A77,CHAR(13),"")&amp;CHAR(10))-1)),FIND(".",(" "&amp;LEFT(SUBSTITUTE(A77,CHAR(13),""),FIND(CHAR(10),SUBSTITUTE(A77,CHAR(13),"")&amp;CHAR(10))-1)))))-LEN(SUBSTITUTE(LEFT((" "&amp;LEFT(SUBSTITUTE(A77,CHAR(13),""),FIND(CHAR(10),SUBSTITUTE(A77,CHAR(13),"")&amp;CHAR(10))-1)),FIND(".",(" "&amp;LEFT(SUBSTITUTE(A77,CHAR(13),""),FIND(CHAR(10),SUBSTITUTE(A77,CHAR(13),"")&amp;CHAR(10))-1))))," ",""))))+1)),""))</f>
        <v/>
      </c>
    </row>
    <row r="78" customFormat="false" ht="30" hidden="false" customHeight="true" outlineLevel="0" collapsed="false">
      <c r="A78" s="11" t="str">
        <f aca="false">IFERROR(INDEX(Pegar!$A$3:$A$1002,MATCH(74,Pegar!$B$3:$B$1002,0))&amp;IF(LEFT(INDEX(Pegar!$A$3:$A$1003,MATCH(74,Pegar!$B$3:$B$1002,0)+1),5)="DESC=",CHAR(10)&amp;INDEX(Pegar!$A$3:$A$1003,MATCH(74,Pegar!$B$3:$B$1002,0)+1),""),"")</f>
        <v/>
      </c>
      <c r="B78" s="12" t="str">
        <f aca="false">IF(TRIM(A78)="","",IFERROR(MID(SUBSTITUTE(SUBSTITUTE(A78,CHAR(10)," "),CHAR(13)," "),FIND(" MT"," "&amp;SUBSTITUTE(SUBSTITUTE(A78,CHAR(10)," "),CHAR(13)," ")),FIND(" ",SUBSTITUTE(SUBSTITUTE(A78,CHAR(10)," "),CHAR(13)," ")&amp;" ",FIND(" MT"," "&amp;SUBSTITUTE(SUBSTITUTE(A78,CHAR(10)," "),CHAR(13)," ")))-FIND(" MT"," "&amp;SUBSTITUTE(SUBSTITUTE(A78,CHAR(10)," "),CHAR(13)," "))),"MT no encontrado"))</f>
        <v/>
      </c>
      <c r="C78" s="15" t="str">
        <f aca="false">IF(TRIM(A78)="","",IF(D78="",FALSE(),SUBSTITUTE(SUBSTITUTE(SUBSTITUTE(D78,".",""),"0",""),"-","")&lt;&gt;""))</f>
        <v/>
      </c>
      <c r="D78" s="14" t="str">
        <f aca="false">IF(TRIM(A78)="","",IFERROR(MID((" "&amp;LEFT(SUBSTITUTE(A78,CHAR(13),""),FIND(CHAR(10),SUBSTITUTE(A78,CHAR(13),"")&amp;CHAR(10))-1)),(FIND("~",SUBSTITUTE(LEFT((" "&amp;LEFT(SUBSTITUTE(A78,CHAR(13),""),FIND(CHAR(10),SUBSTITUTE(A78,CHAR(13),"")&amp;CHAR(10))-1)),FIND(".",(" "&amp;LEFT(SUBSTITUTE(A78,CHAR(13),""),FIND(CHAR(10),SUBSTITUTE(A78,CHAR(13),"")&amp;CHAR(10))-1))))," ","~",LEN(LEFT((" "&amp;LEFT(SUBSTITUTE(A78,CHAR(13),""),FIND(CHAR(10),SUBSTITUTE(A78,CHAR(13),"")&amp;CHAR(10))-1)),FIND(".",(" "&amp;LEFT(SUBSTITUTE(A78,CHAR(13),""),FIND(CHAR(10),SUBSTITUTE(A78,CHAR(13),"")&amp;CHAR(10))-1)))))-LEN(SUBSTITUTE(LEFT((" "&amp;LEFT(SUBSTITUTE(A78,CHAR(13),""),FIND(CHAR(10),SUBSTITUTE(A78,CHAR(13),"")&amp;CHAR(10))-1)),FIND(".",(" "&amp;LEFT(SUBSTITUTE(A78,CHAR(13),""),FIND(CHAR(10),SUBSTITUTE(A78,CHAR(13),"")&amp;CHAR(10))-1))))," ",""))))+1),FIND(" ",(" "&amp;LEFT(SUBSTITUTE(A78,CHAR(13),""),FIND(CHAR(10),SUBSTITUTE(A78,CHAR(13),"")&amp;CHAR(10))-1))&amp;" ",FIND(".",(" "&amp;LEFT(SUBSTITUTE(A78,CHAR(13),""),FIND(CHAR(10),SUBSTITUTE(A78,CHAR(13),"")&amp;CHAR(10))-1))))-(FIND("~",SUBSTITUTE(LEFT((" "&amp;LEFT(SUBSTITUTE(A78,CHAR(13),""),FIND(CHAR(10),SUBSTITUTE(A78,CHAR(13),"")&amp;CHAR(10))-1)),FIND(".",(" "&amp;LEFT(SUBSTITUTE(A78,CHAR(13),""),FIND(CHAR(10),SUBSTITUTE(A78,CHAR(13),"")&amp;CHAR(10))-1))))," ","~",LEN(LEFT((" "&amp;LEFT(SUBSTITUTE(A78,CHAR(13),""),FIND(CHAR(10),SUBSTITUTE(A78,CHAR(13),"")&amp;CHAR(10))-1)),FIND(".",(" "&amp;LEFT(SUBSTITUTE(A78,CHAR(13),""),FIND(CHAR(10),SUBSTITUTE(A78,CHAR(13),"")&amp;CHAR(10))-1)))))-LEN(SUBSTITUTE(LEFT((" "&amp;LEFT(SUBSTITUTE(A78,CHAR(13),""),FIND(CHAR(10),SUBSTITUTE(A78,CHAR(13),"")&amp;CHAR(10))-1)),FIND(".",(" "&amp;LEFT(SUBSTITUTE(A78,CHAR(13),""),FIND(CHAR(10),SUBSTITUTE(A78,CHAR(13),"")&amp;CHAR(10))-1))))," ",""))))+1)),""))</f>
        <v/>
      </c>
    </row>
    <row r="79" customFormat="false" ht="30" hidden="false" customHeight="true" outlineLevel="0" collapsed="false">
      <c r="A79" s="11" t="str">
        <f aca="false">IFERROR(INDEX(Pegar!$A$3:$A$1002,MATCH(75,Pegar!$B$3:$B$1002,0))&amp;IF(LEFT(INDEX(Pegar!$A$3:$A$1003,MATCH(75,Pegar!$B$3:$B$1002,0)+1),5)="DESC=",CHAR(10)&amp;INDEX(Pegar!$A$3:$A$1003,MATCH(75,Pegar!$B$3:$B$1002,0)+1),""),"")</f>
        <v/>
      </c>
      <c r="B79" s="12" t="str">
        <f aca="false">IF(TRIM(A79)="","",IFERROR(MID(SUBSTITUTE(SUBSTITUTE(A79,CHAR(10)," "),CHAR(13)," "),FIND(" MT"," "&amp;SUBSTITUTE(SUBSTITUTE(A79,CHAR(10)," "),CHAR(13)," ")),FIND(" ",SUBSTITUTE(SUBSTITUTE(A79,CHAR(10)," "),CHAR(13)," ")&amp;" ",FIND(" MT"," "&amp;SUBSTITUTE(SUBSTITUTE(A79,CHAR(10)," "),CHAR(13)," ")))-FIND(" MT"," "&amp;SUBSTITUTE(SUBSTITUTE(A79,CHAR(10)," "),CHAR(13)," "))),"MT no encontrado"))</f>
        <v/>
      </c>
      <c r="C79" s="15" t="str">
        <f aca="false">IF(TRIM(A79)="","",IF(D79="",FALSE(),SUBSTITUTE(SUBSTITUTE(SUBSTITUTE(D79,".",""),"0",""),"-","")&lt;&gt;""))</f>
        <v/>
      </c>
      <c r="D79" s="14" t="str">
        <f aca="false">IF(TRIM(A79)="","",IFERROR(MID((" "&amp;LEFT(SUBSTITUTE(A79,CHAR(13),""),FIND(CHAR(10),SUBSTITUTE(A79,CHAR(13),"")&amp;CHAR(10))-1)),(FIND("~",SUBSTITUTE(LEFT((" "&amp;LEFT(SUBSTITUTE(A79,CHAR(13),""),FIND(CHAR(10),SUBSTITUTE(A79,CHAR(13),"")&amp;CHAR(10))-1)),FIND(".",(" "&amp;LEFT(SUBSTITUTE(A79,CHAR(13),""),FIND(CHAR(10),SUBSTITUTE(A79,CHAR(13),"")&amp;CHAR(10))-1))))," ","~",LEN(LEFT((" "&amp;LEFT(SUBSTITUTE(A79,CHAR(13),""),FIND(CHAR(10),SUBSTITUTE(A79,CHAR(13),"")&amp;CHAR(10))-1)),FIND(".",(" "&amp;LEFT(SUBSTITUTE(A79,CHAR(13),""),FIND(CHAR(10),SUBSTITUTE(A79,CHAR(13),"")&amp;CHAR(10))-1)))))-LEN(SUBSTITUTE(LEFT((" "&amp;LEFT(SUBSTITUTE(A79,CHAR(13),""),FIND(CHAR(10),SUBSTITUTE(A79,CHAR(13),"")&amp;CHAR(10))-1)),FIND(".",(" "&amp;LEFT(SUBSTITUTE(A79,CHAR(13),""),FIND(CHAR(10),SUBSTITUTE(A79,CHAR(13),"")&amp;CHAR(10))-1))))," ",""))))+1),FIND(" ",(" "&amp;LEFT(SUBSTITUTE(A79,CHAR(13),""),FIND(CHAR(10),SUBSTITUTE(A79,CHAR(13),"")&amp;CHAR(10))-1))&amp;" ",FIND(".",(" "&amp;LEFT(SUBSTITUTE(A79,CHAR(13),""),FIND(CHAR(10),SUBSTITUTE(A79,CHAR(13),"")&amp;CHAR(10))-1))))-(FIND("~",SUBSTITUTE(LEFT((" "&amp;LEFT(SUBSTITUTE(A79,CHAR(13),""),FIND(CHAR(10),SUBSTITUTE(A79,CHAR(13),"")&amp;CHAR(10))-1)),FIND(".",(" "&amp;LEFT(SUBSTITUTE(A79,CHAR(13),""),FIND(CHAR(10),SUBSTITUTE(A79,CHAR(13),"")&amp;CHAR(10))-1))))," ","~",LEN(LEFT((" "&amp;LEFT(SUBSTITUTE(A79,CHAR(13),""),FIND(CHAR(10),SUBSTITUTE(A79,CHAR(13),"")&amp;CHAR(10))-1)),FIND(".",(" "&amp;LEFT(SUBSTITUTE(A79,CHAR(13),""),FIND(CHAR(10),SUBSTITUTE(A79,CHAR(13),"")&amp;CHAR(10))-1)))))-LEN(SUBSTITUTE(LEFT((" "&amp;LEFT(SUBSTITUTE(A79,CHAR(13),""),FIND(CHAR(10),SUBSTITUTE(A79,CHAR(13),"")&amp;CHAR(10))-1)),FIND(".",(" "&amp;LEFT(SUBSTITUTE(A79,CHAR(13),""),FIND(CHAR(10),SUBSTITUTE(A79,CHAR(13),"")&amp;CHAR(10))-1))))," ",""))))+1)),""))</f>
        <v/>
      </c>
    </row>
    <row r="80" customFormat="false" ht="30" hidden="false" customHeight="true" outlineLevel="0" collapsed="false">
      <c r="A80" s="11" t="str">
        <f aca="false">IFERROR(INDEX(Pegar!$A$3:$A$1002,MATCH(76,Pegar!$B$3:$B$1002,0))&amp;IF(LEFT(INDEX(Pegar!$A$3:$A$1003,MATCH(76,Pegar!$B$3:$B$1002,0)+1),5)="DESC=",CHAR(10)&amp;INDEX(Pegar!$A$3:$A$1003,MATCH(76,Pegar!$B$3:$B$1002,0)+1),""),"")</f>
        <v/>
      </c>
      <c r="B80" s="12" t="str">
        <f aca="false">IF(TRIM(A80)="","",IFERROR(MID(SUBSTITUTE(SUBSTITUTE(A80,CHAR(10)," "),CHAR(13)," "),FIND(" MT"," "&amp;SUBSTITUTE(SUBSTITUTE(A80,CHAR(10)," "),CHAR(13)," ")),FIND(" ",SUBSTITUTE(SUBSTITUTE(A80,CHAR(10)," "),CHAR(13)," ")&amp;" ",FIND(" MT"," "&amp;SUBSTITUTE(SUBSTITUTE(A80,CHAR(10)," "),CHAR(13)," ")))-FIND(" MT"," "&amp;SUBSTITUTE(SUBSTITUTE(A80,CHAR(10)," "),CHAR(13)," "))),"MT no encontrado"))</f>
        <v/>
      </c>
      <c r="C80" s="15" t="str">
        <f aca="false">IF(TRIM(A80)="","",IF(D80="",FALSE(),SUBSTITUTE(SUBSTITUTE(SUBSTITUTE(D80,".",""),"0",""),"-","")&lt;&gt;""))</f>
        <v/>
      </c>
      <c r="D80" s="14" t="str">
        <f aca="false">IF(TRIM(A80)="","",IFERROR(MID((" "&amp;LEFT(SUBSTITUTE(A80,CHAR(13),""),FIND(CHAR(10),SUBSTITUTE(A80,CHAR(13),"")&amp;CHAR(10))-1)),(FIND("~",SUBSTITUTE(LEFT((" "&amp;LEFT(SUBSTITUTE(A80,CHAR(13),""),FIND(CHAR(10),SUBSTITUTE(A80,CHAR(13),"")&amp;CHAR(10))-1)),FIND(".",(" "&amp;LEFT(SUBSTITUTE(A80,CHAR(13),""),FIND(CHAR(10),SUBSTITUTE(A80,CHAR(13),"")&amp;CHAR(10))-1))))," ","~",LEN(LEFT((" "&amp;LEFT(SUBSTITUTE(A80,CHAR(13),""),FIND(CHAR(10),SUBSTITUTE(A80,CHAR(13),"")&amp;CHAR(10))-1)),FIND(".",(" "&amp;LEFT(SUBSTITUTE(A80,CHAR(13),""),FIND(CHAR(10),SUBSTITUTE(A80,CHAR(13),"")&amp;CHAR(10))-1)))))-LEN(SUBSTITUTE(LEFT((" "&amp;LEFT(SUBSTITUTE(A80,CHAR(13),""),FIND(CHAR(10),SUBSTITUTE(A80,CHAR(13),"")&amp;CHAR(10))-1)),FIND(".",(" "&amp;LEFT(SUBSTITUTE(A80,CHAR(13),""),FIND(CHAR(10),SUBSTITUTE(A80,CHAR(13),"")&amp;CHAR(10))-1))))," ",""))))+1),FIND(" ",(" "&amp;LEFT(SUBSTITUTE(A80,CHAR(13),""),FIND(CHAR(10),SUBSTITUTE(A80,CHAR(13),"")&amp;CHAR(10))-1))&amp;" ",FIND(".",(" "&amp;LEFT(SUBSTITUTE(A80,CHAR(13),""),FIND(CHAR(10),SUBSTITUTE(A80,CHAR(13),"")&amp;CHAR(10))-1))))-(FIND("~",SUBSTITUTE(LEFT((" "&amp;LEFT(SUBSTITUTE(A80,CHAR(13),""),FIND(CHAR(10),SUBSTITUTE(A80,CHAR(13),"")&amp;CHAR(10))-1)),FIND(".",(" "&amp;LEFT(SUBSTITUTE(A80,CHAR(13),""),FIND(CHAR(10),SUBSTITUTE(A80,CHAR(13),"")&amp;CHAR(10))-1))))," ","~",LEN(LEFT((" "&amp;LEFT(SUBSTITUTE(A80,CHAR(13),""),FIND(CHAR(10),SUBSTITUTE(A80,CHAR(13),"")&amp;CHAR(10))-1)),FIND(".",(" "&amp;LEFT(SUBSTITUTE(A80,CHAR(13),""),FIND(CHAR(10),SUBSTITUTE(A80,CHAR(13),"")&amp;CHAR(10))-1)))))-LEN(SUBSTITUTE(LEFT((" "&amp;LEFT(SUBSTITUTE(A80,CHAR(13),""),FIND(CHAR(10),SUBSTITUTE(A80,CHAR(13),"")&amp;CHAR(10))-1)),FIND(".",(" "&amp;LEFT(SUBSTITUTE(A80,CHAR(13),""),FIND(CHAR(10),SUBSTITUTE(A80,CHAR(13),"")&amp;CHAR(10))-1))))," ",""))))+1)),""))</f>
        <v/>
      </c>
    </row>
    <row r="81" customFormat="false" ht="30" hidden="false" customHeight="true" outlineLevel="0" collapsed="false">
      <c r="A81" s="11" t="str">
        <f aca="false">IFERROR(INDEX(Pegar!$A$3:$A$1002,MATCH(77,Pegar!$B$3:$B$1002,0))&amp;IF(LEFT(INDEX(Pegar!$A$3:$A$1003,MATCH(77,Pegar!$B$3:$B$1002,0)+1),5)="DESC=",CHAR(10)&amp;INDEX(Pegar!$A$3:$A$1003,MATCH(77,Pegar!$B$3:$B$1002,0)+1),""),"")</f>
        <v/>
      </c>
      <c r="B81" s="12" t="str">
        <f aca="false">IF(TRIM(A81)="","",IFERROR(MID(SUBSTITUTE(SUBSTITUTE(A81,CHAR(10)," "),CHAR(13)," "),FIND(" MT"," "&amp;SUBSTITUTE(SUBSTITUTE(A81,CHAR(10)," "),CHAR(13)," ")),FIND(" ",SUBSTITUTE(SUBSTITUTE(A81,CHAR(10)," "),CHAR(13)," ")&amp;" ",FIND(" MT"," "&amp;SUBSTITUTE(SUBSTITUTE(A81,CHAR(10)," "),CHAR(13)," ")))-FIND(" MT"," "&amp;SUBSTITUTE(SUBSTITUTE(A81,CHAR(10)," "),CHAR(13)," "))),"MT no encontrado"))</f>
        <v/>
      </c>
      <c r="C81" s="15" t="str">
        <f aca="false">IF(TRIM(A81)="","",IF(D81="",FALSE(),SUBSTITUTE(SUBSTITUTE(SUBSTITUTE(D81,".",""),"0",""),"-","")&lt;&gt;""))</f>
        <v/>
      </c>
      <c r="D81" s="14" t="str">
        <f aca="false">IF(TRIM(A81)="","",IFERROR(MID((" "&amp;LEFT(SUBSTITUTE(A81,CHAR(13),""),FIND(CHAR(10),SUBSTITUTE(A81,CHAR(13),"")&amp;CHAR(10))-1)),(FIND("~",SUBSTITUTE(LEFT((" "&amp;LEFT(SUBSTITUTE(A81,CHAR(13),""),FIND(CHAR(10),SUBSTITUTE(A81,CHAR(13),"")&amp;CHAR(10))-1)),FIND(".",(" "&amp;LEFT(SUBSTITUTE(A81,CHAR(13),""),FIND(CHAR(10),SUBSTITUTE(A81,CHAR(13),"")&amp;CHAR(10))-1))))," ","~",LEN(LEFT((" "&amp;LEFT(SUBSTITUTE(A81,CHAR(13),""),FIND(CHAR(10),SUBSTITUTE(A81,CHAR(13),"")&amp;CHAR(10))-1)),FIND(".",(" "&amp;LEFT(SUBSTITUTE(A81,CHAR(13),""),FIND(CHAR(10),SUBSTITUTE(A81,CHAR(13),"")&amp;CHAR(10))-1)))))-LEN(SUBSTITUTE(LEFT((" "&amp;LEFT(SUBSTITUTE(A81,CHAR(13),""),FIND(CHAR(10),SUBSTITUTE(A81,CHAR(13),"")&amp;CHAR(10))-1)),FIND(".",(" "&amp;LEFT(SUBSTITUTE(A81,CHAR(13),""),FIND(CHAR(10),SUBSTITUTE(A81,CHAR(13),"")&amp;CHAR(10))-1))))," ",""))))+1),FIND(" ",(" "&amp;LEFT(SUBSTITUTE(A81,CHAR(13),""),FIND(CHAR(10),SUBSTITUTE(A81,CHAR(13),"")&amp;CHAR(10))-1))&amp;" ",FIND(".",(" "&amp;LEFT(SUBSTITUTE(A81,CHAR(13),""),FIND(CHAR(10),SUBSTITUTE(A81,CHAR(13),"")&amp;CHAR(10))-1))))-(FIND("~",SUBSTITUTE(LEFT((" "&amp;LEFT(SUBSTITUTE(A81,CHAR(13),""),FIND(CHAR(10),SUBSTITUTE(A81,CHAR(13),"")&amp;CHAR(10))-1)),FIND(".",(" "&amp;LEFT(SUBSTITUTE(A81,CHAR(13),""),FIND(CHAR(10),SUBSTITUTE(A81,CHAR(13),"")&amp;CHAR(10))-1))))," ","~",LEN(LEFT((" "&amp;LEFT(SUBSTITUTE(A81,CHAR(13),""),FIND(CHAR(10),SUBSTITUTE(A81,CHAR(13),"")&amp;CHAR(10))-1)),FIND(".",(" "&amp;LEFT(SUBSTITUTE(A81,CHAR(13),""),FIND(CHAR(10),SUBSTITUTE(A81,CHAR(13),"")&amp;CHAR(10))-1)))))-LEN(SUBSTITUTE(LEFT((" "&amp;LEFT(SUBSTITUTE(A81,CHAR(13),""),FIND(CHAR(10),SUBSTITUTE(A81,CHAR(13),"")&amp;CHAR(10))-1)),FIND(".",(" "&amp;LEFT(SUBSTITUTE(A81,CHAR(13),""),FIND(CHAR(10),SUBSTITUTE(A81,CHAR(13),"")&amp;CHAR(10))-1))))," ",""))))+1)),""))</f>
        <v/>
      </c>
    </row>
    <row r="82" customFormat="false" ht="30" hidden="false" customHeight="true" outlineLevel="0" collapsed="false">
      <c r="A82" s="11" t="str">
        <f aca="false">IFERROR(INDEX(Pegar!$A$3:$A$1002,MATCH(78,Pegar!$B$3:$B$1002,0))&amp;IF(LEFT(INDEX(Pegar!$A$3:$A$1003,MATCH(78,Pegar!$B$3:$B$1002,0)+1),5)="DESC=",CHAR(10)&amp;INDEX(Pegar!$A$3:$A$1003,MATCH(78,Pegar!$B$3:$B$1002,0)+1),""),"")</f>
        <v/>
      </c>
      <c r="B82" s="12" t="str">
        <f aca="false">IF(TRIM(A82)="","",IFERROR(MID(SUBSTITUTE(SUBSTITUTE(A82,CHAR(10)," "),CHAR(13)," "),FIND(" MT"," "&amp;SUBSTITUTE(SUBSTITUTE(A82,CHAR(10)," "),CHAR(13)," ")),FIND(" ",SUBSTITUTE(SUBSTITUTE(A82,CHAR(10)," "),CHAR(13)," ")&amp;" ",FIND(" MT"," "&amp;SUBSTITUTE(SUBSTITUTE(A82,CHAR(10)," "),CHAR(13)," ")))-FIND(" MT"," "&amp;SUBSTITUTE(SUBSTITUTE(A82,CHAR(10)," "),CHAR(13)," "))),"MT no encontrado"))</f>
        <v/>
      </c>
      <c r="C82" s="15" t="str">
        <f aca="false">IF(TRIM(A82)="","",IF(D82="",FALSE(),SUBSTITUTE(SUBSTITUTE(SUBSTITUTE(D82,".",""),"0",""),"-","")&lt;&gt;""))</f>
        <v/>
      </c>
      <c r="D82" s="14" t="str">
        <f aca="false">IF(TRIM(A82)="","",IFERROR(MID((" "&amp;LEFT(SUBSTITUTE(A82,CHAR(13),""),FIND(CHAR(10),SUBSTITUTE(A82,CHAR(13),"")&amp;CHAR(10))-1)),(FIND("~",SUBSTITUTE(LEFT((" "&amp;LEFT(SUBSTITUTE(A82,CHAR(13),""),FIND(CHAR(10),SUBSTITUTE(A82,CHAR(13),"")&amp;CHAR(10))-1)),FIND(".",(" "&amp;LEFT(SUBSTITUTE(A82,CHAR(13),""),FIND(CHAR(10),SUBSTITUTE(A82,CHAR(13),"")&amp;CHAR(10))-1))))," ","~",LEN(LEFT((" "&amp;LEFT(SUBSTITUTE(A82,CHAR(13),""),FIND(CHAR(10),SUBSTITUTE(A82,CHAR(13),"")&amp;CHAR(10))-1)),FIND(".",(" "&amp;LEFT(SUBSTITUTE(A82,CHAR(13),""),FIND(CHAR(10),SUBSTITUTE(A82,CHAR(13),"")&amp;CHAR(10))-1)))))-LEN(SUBSTITUTE(LEFT((" "&amp;LEFT(SUBSTITUTE(A82,CHAR(13),""),FIND(CHAR(10),SUBSTITUTE(A82,CHAR(13),"")&amp;CHAR(10))-1)),FIND(".",(" "&amp;LEFT(SUBSTITUTE(A82,CHAR(13),""),FIND(CHAR(10),SUBSTITUTE(A82,CHAR(13),"")&amp;CHAR(10))-1))))," ",""))))+1),FIND(" ",(" "&amp;LEFT(SUBSTITUTE(A82,CHAR(13),""),FIND(CHAR(10),SUBSTITUTE(A82,CHAR(13),"")&amp;CHAR(10))-1))&amp;" ",FIND(".",(" "&amp;LEFT(SUBSTITUTE(A82,CHAR(13),""),FIND(CHAR(10),SUBSTITUTE(A82,CHAR(13),"")&amp;CHAR(10))-1))))-(FIND("~",SUBSTITUTE(LEFT((" "&amp;LEFT(SUBSTITUTE(A82,CHAR(13),""),FIND(CHAR(10),SUBSTITUTE(A82,CHAR(13),"")&amp;CHAR(10))-1)),FIND(".",(" "&amp;LEFT(SUBSTITUTE(A82,CHAR(13),""),FIND(CHAR(10),SUBSTITUTE(A82,CHAR(13),"")&amp;CHAR(10))-1))))," ","~",LEN(LEFT((" "&amp;LEFT(SUBSTITUTE(A82,CHAR(13),""),FIND(CHAR(10),SUBSTITUTE(A82,CHAR(13),"")&amp;CHAR(10))-1)),FIND(".",(" "&amp;LEFT(SUBSTITUTE(A82,CHAR(13),""),FIND(CHAR(10),SUBSTITUTE(A82,CHAR(13),"")&amp;CHAR(10))-1)))))-LEN(SUBSTITUTE(LEFT((" "&amp;LEFT(SUBSTITUTE(A82,CHAR(13),""),FIND(CHAR(10),SUBSTITUTE(A82,CHAR(13),"")&amp;CHAR(10))-1)),FIND(".",(" "&amp;LEFT(SUBSTITUTE(A82,CHAR(13),""),FIND(CHAR(10),SUBSTITUTE(A82,CHAR(13),"")&amp;CHAR(10))-1))))," ",""))))+1)),""))</f>
        <v/>
      </c>
    </row>
    <row r="83" customFormat="false" ht="30" hidden="false" customHeight="true" outlineLevel="0" collapsed="false">
      <c r="A83" s="11" t="str">
        <f aca="false">IFERROR(INDEX(Pegar!$A$3:$A$1002,MATCH(79,Pegar!$B$3:$B$1002,0))&amp;IF(LEFT(INDEX(Pegar!$A$3:$A$1003,MATCH(79,Pegar!$B$3:$B$1002,0)+1),5)="DESC=",CHAR(10)&amp;INDEX(Pegar!$A$3:$A$1003,MATCH(79,Pegar!$B$3:$B$1002,0)+1),""),"")</f>
        <v/>
      </c>
      <c r="B83" s="12" t="str">
        <f aca="false">IF(TRIM(A83)="","",IFERROR(MID(SUBSTITUTE(SUBSTITUTE(A83,CHAR(10)," "),CHAR(13)," "),FIND(" MT"," "&amp;SUBSTITUTE(SUBSTITUTE(A83,CHAR(10)," "),CHAR(13)," ")),FIND(" ",SUBSTITUTE(SUBSTITUTE(A83,CHAR(10)," "),CHAR(13)," ")&amp;" ",FIND(" MT"," "&amp;SUBSTITUTE(SUBSTITUTE(A83,CHAR(10)," "),CHAR(13)," ")))-FIND(" MT"," "&amp;SUBSTITUTE(SUBSTITUTE(A83,CHAR(10)," "),CHAR(13)," "))),"MT no encontrado"))</f>
        <v/>
      </c>
      <c r="C83" s="15" t="str">
        <f aca="false">IF(TRIM(A83)="","",IF(D83="",FALSE(),SUBSTITUTE(SUBSTITUTE(SUBSTITUTE(D83,".",""),"0",""),"-","")&lt;&gt;""))</f>
        <v/>
      </c>
      <c r="D83" s="14" t="str">
        <f aca="false">IF(TRIM(A83)="","",IFERROR(MID((" "&amp;LEFT(SUBSTITUTE(A83,CHAR(13),""),FIND(CHAR(10),SUBSTITUTE(A83,CHAR(13),"")&amp;CHAR(10))-1)),(FIND("~",SUBSTITUTE(LEFT((" "&amp;LEFT(SUBSTITUTE(A83,CHAR(13),""),FIND(CHAR(10),SUBSTITUTE(A83,CHAR(13),"")&amp;CHAR(10))-1)),FIND(".",(" "&amp;LEFT(SUBSTITUTE(A83,CHAR(13),""),FIND(CHAR(10),SUBSTITUTE(A83,CHAR(13),"")&amp;CHAR(10))-1))))," ","~",LEN(LEFT((" "&amp;LEFT(SUBSTITUTE(A83,CHAR(13),""),FIND(CHAR(10),SUBSTITUTE(A83,CHAR(13),"")&amp;CHAR(10))-1)),FIND(".",(" "&amp;LEFT(SUBSTITUTE(A83,CHAR(13),""),FIND(CHAR(10),SUBSTITUTE(A83,CHAR(13),"")&amp;CHAR(10))-1)))))-LEN(SUBSTITUTE(LEFT((" "&amp;LEFT(SUBSTITUTE(A83,CHAR(13),""),FIND(CHAR(10),SUBSTITUTE(A83,CHAR(13),"")&amp;CHAR(10))-1)),FIND(".",(" "&amp;LEFT(SUBSTITUTE(A83,CHAR(13),""),FIND(CHAR(10),SUBSTITUTE(A83,CHAR(13),"")&amp;CHAR(10))-1))))," ",""))))+1),FIND(" ",(" "&amp;LEFT(SUBSTITUTE(A83,CHAR(13),""),FIND(CHAR(10),SUBSTITUTE(A83,CHAR(13),"")&amp;CHAR(10))-1))&amp;" ",FIND(".",(" "&amp;LEFT(SUBSTITUTE(A83,CHAR(13),""),FIND(CHAR(10),SUBSTITUTE(A83,CHAR(13),"")&amp;CHAR(10))-1))))-(FIND("~",SUBSTITUTE(LEFT((" "&amp;LEFT(SUBSTITUTE(A83,CHAR(13),""),FIND(CHAR(10),SUBSTITUTE(A83,CHAR(13),"")&amp;CHAR(10))-1)),FIND(".",(" "&amp;LEFT(SUBSTITUTE(A83,CHAR(13),""),FIND(CHAR(10),SUBSTITUTE(A83,CHAR(13),"")&amp;CHAR(10))-1))))," ","~",LEN(LEFT((" "&amp;LEFT(SUBSTITUTE(A83,CHAR(13),""),FIND(CHAR(10),SUBSTITUTE(A83,CHAR(13),"")&amp;CHAR(10))-1)),FIND(".",(" "&amp;LEFT(SUBSTITUTE(A83,CHAR(13),""),FIND(CHAR(10),SUBSTITUTE(A83,CHAR(13),"")&amp;CHAR(10))-1)))))-LEN(SUBSTITUTE(LEFT((" "&amp;LEFT(SUBSTITUTE(A83,CHAR(13),""),FIND(CHAR(10),SUBSTITUTE(A83,CHAR(13),"")&amp;CHAR(10))-1)),FIND(".",(" "&amp;LEFT(SUBSTITUTE(A83,CHAR(13),""),FIND(CHAR(10),SUBSTITUTE(A83,CHAR(13),"")&amp;CHAR(10))-1))))," ",""))))+1)),""))</f>
        <v/>
      </c>
    </row>
    <row r="84" customFormat="false" ht="30" hidden="false" customHeight="true" outlineLevel="0" collapsed="false">
      <c r="A84" s="11" t="str">
        <f aca="false">IFERROR(INDEX(Pegar!$A$3:$A$1002,MATCH(80,Pegar!$B$3:$B$1002,0))&amp;IF(LEFT(INDEX(Pegar!$A$3:$A$1003,MATCH(80,Pegar!$B$3:$B$1002,0)+1),5)="DESC=",CHAR(10)&amp;INDEX(Pegar!$A$3:$A$1003,MATCH(80,Pegar!$B$3:$B$1002,0)+1),""),"")</f>
        <v/>
      </c>
      <c r="B84" s="12" t="str">
        <f aca="false">IF(TRIM(A84)="","",IFERROR(MID(SUBSTITUTE(SUBSTITUTE(A84,CHAR(10)," "),CHAR(13)," "),FIND(" MT"," "&amp;SUBSTITUTE(SUBSTITUTE(A84,CHAR(10)," "),CHAR(13)," ")),FIND(" ",SUBSTITUTE(SUBSTITUTE(A84,CHAR(10)," "),CHAR(13)," ")&amp;" ",FIND(" MT"," "&amp;SUBSTITUTE(SUBSTITUTE(A84,CHAR(10)," "),CHAR(13)," ")))-FIND(" MT"," "&amp;SUBSTITUTE(SUBSTITUTE(A84,CHAR(10)," "),CHAR(13)," "))),"MT no encontrado"))</f>
        <v/>
      </c>
      <c r="C84" s="15" t="str">
        <f aca="false">IF(TRIM(A84)="","",IF(D84="",FALSE(),SUBSTITUTE(SUBSTITUTE(SUBSTITUTE(D84,".",""),"0",""),"-","")&lt;&gt;""))</f>
        <v/>
      </c>
      <c r="D84" s="14" t="str">
        <f aca="false">IF(TRIM(A84)="","",IFERROR(MID((" "&amp;LEFT(SUBSTITUTE(A84,CHAR(13),""),FIND(CHAR(10),SUBSTITUTE(A84,CHAR(13),"")&amp;CHAR(10))-1)),(FIND("~",SUBSTITUTE(LEFT((" "&amp;LEFT(SUBSTITUTE(A84,CHAR(13),""),FIND(CHAR(10),SUBSTITUTE(A84,CHAR(13),"")&amp;CHAR(10))-1)),FIND(".",(" "&amp;LEFT(SUBSTITUTE(A84,CHAR(13),""),FIND(CHAR(10),SUBSTITUTE(A84,CHAR(13),"")&amp;CHAR(10))-1))))," ","~",LEN(LEFT((" "&amp;LEFT(SUBSTITUTE(A84,CHAR(13),""),FIND(CHAR(10),SUBSTITUTE(A84,CHAR(13),"")&amp;CHAR(10))-1)),FIND(".",(" "&amp;LEFT(SUBSTITUTE(A84,CHAR(13),""),FIND(CHAR(10),SUBSTITUTE(A84,CHAR(13),"")&amp;CHAR(10))-1)))))-LEN(SUBSTITUTE(LEFT((" "&amp;LEFT(SUBSTITUTE(A84,CHAR(13),""),FIND(CHAR(10),SUBSTITUTE(A84,CHAR(13),"")&amp;CHAR(10))-1)),FIND(".",(" "&amp;LEFT(SUBSTITUTE(A84,CHAR(13),""),FIND(CHAR(10),SUBSTITUTE(A84,CHAR(13),"")&amp;CHAR(10))-1))))," ",""))))+1),FIND(" ",(" "&amp;LEFT(SUBSTITUTE(A84,CHAR(13),""),FIND(CHAR(10),SUBSTITUTE(A84,CHAR(13),"")&amp;CHAR(10))-1))&amp;" ",FIND(".",(" "&amp;LEFT(SUBSTITUTE(A84,CHAR(13),""),FIND(CHAR(10),SUBSTITUTE(A84,CHAR(13),"")&amp;CHAR(10))-1))))-(FIND("~",SUBSTITUTE(LEFT((" "&amp;LEFT(SUBSTITUTE(A84,CHAR(13),""),FIND(CHAR(10),SUBSTITUTE(A84,CHAR(13),"")&amp;CHAR(10))-1)),FIND(".",(" "&amp;LEFT(SUBSTITUTE(A84,CHAR(13),""),FIND(CHAR(10),SUBSTITUTE(A84,CHAR(13),"")&amp;CHAR(10))-1))))," ","~",LEN(LEFT((" "&amp;LEFT(SUBSTITUTE(A84,CHAR(13),""),FIND(CHAR(10),SUBSTITUTE(A84,CHAR(13),"")&amp;CHAR(10))-1)),FIND(".",(" "&amp;LEFT(SUBSTITUTE(A84,CHAR(13),""),FIND(CHAR(10),SUBSTITUTE(A84,CHAR(13),"")&amp;CHAR(10))-1)))))-LEN(SUBSTITUTE(LEFT((" "&amp;LEFT(SUBSTITUTE(A84,CHAR(13),""),FIND(CHAR(10),SUBSTITUTE(A84,CHAR(13),"")&amp;CHAR(10))-1)),FIND(".",(" "&amp;LEFT(SUBSTITUTE(A84,CHAR(13),""),FIND(CHAR(10),SUBSTITUTE(A84,CHAR(13),"")&amp;CHAR(10))-1))))," ",""))))+1)),""))</f>
        <v/>
      </c>
    </row>
    <row r="85" customFormat="false" ht="30" hidden="false" customHeight="true" outlineLevel="0" collapsed="false">
      <c r="A85" s="11" t="str">
        <f aca="false">IFERROR(INDEX(Pegar!$A$3:$A$1002,MATCH(81,Pegar!$B$3:$B$1002,0))&amp;IF(LEFT(INDEX(Pegar!$A$3:$A$1003,MATCH(81,Pegar!$B$3:$B$1002,0)+1),5)="DESC=",CHAR(10)&amp;INDEX(Pegar!$A$3:$A$1003,MATCH(81,Pegar!$B$3:$B$1002,0)+1),""),"")</f>
        <v/>
      </c>
      <c r="B85" s="12" t="str">
        <f aca="false">IF(TRIM(A85)="","",IFERROR(MID(SUBSTITUTE(SUBSTITUTE(A85,CHAR(10)," "),CHAR(13)," "),FIND(" MT"," "&amp;SUBSTITUTE(SUBSTITUTE(A85,CHAR(10)," "),CHAR(13)," ")),FIND(" ",SUBSTITUTE(SUBSTITUTE(A85,CHAR(10)," "),CHAR(13)," ")&amp;" ",FIND(" MT"," "&amp;SUBSTITUTE(SUBSTITUTE(A85,CHAR(10)," "),CHAR(13)," ")))-FIND(" MT"," "&amp;SUBSTITUTE(SUBSTITUTE(A85,CHAR(10)," "),CHAR(13)," "))),"MT no encontrado"))</f>
        <v/>
      </c>
      <c r="C85" s="15" t="str">
        <f aca="false">IF(TRIM(A85)="","",IF(D85="",FALSE(),SUBSTITUTE(SUBSTITUTE(SUBSTITUTE(D85,".",""),"0",""),"-","")&lt;&gt;""))</f>
        <v/>
      </c>
      <c r="D85" s="14" t="str">
        <f aca="false">IF(TRIM(A85)="","",IFERROR(MID((" "&amp;LEFT(SUBSTITUTE(A85,CHAR(13),""),FIND(CHAR(10),SUBSTITUTE(A85,CHAR(13),"")&amp;CHAR(10))-1)),(FIND("~",SUBSTITUTE(LEFT((" "&amp;LEFT(SUBSTITUTE(A85,CHAR(13),""),FIND(CHAR(10),SUBSTITUTE(A85,CHAR(13),"")&amp;CHAR(10))-1)),FIND(".",(" "&amp;LEFT(SUBSTITUTE(A85,CHAR(13),""),FIND(CHAR(10),SUBSTITUTE(A85,CHAR(13),"")&amp;CHAR(10))-1))))," ","~",LEN(LEFT((" "&amp;LEFT(SUBSTITUTE(A85,CHAR(13),""),FIND(CHAR(10),SUBSTITUTE(A85,CHAR(13),"")&amp;CHAR(10))-1)),FIND(".",(" "&amp;LEFT(SUBSTITUTE(A85,CHAR(13),""),FIND(CHAR(10),SUBSTITUTE(A85,CHAR(13),"")&amp;CHAR(10))-1)))))-LEN(SUBSTITUTE(LEFT((" "&amp;LEFT(SUBSTITUTE(A85,CHAR(13),""),FIND(CHAR(10),SUBSTITUTE(A85,CHAR(13),"")&amp;CHAR(10))-1)),FIND(".",(" "&amp;LEFT(SUBSTITUTE(A85,CHAR(13),""),FIND(CHAR(10),SUBSTITUTE(A85,CHAR(13),"")&amp;CHAR(10))-1))))," ",""))))+1),FIND(" ",(" "&amp;LEFT(SUBSTITUTE(A85,CHAR(13),""),FIND(CHAR(10),SUBSTITUTE(A85,CHAR(13),"")&amp;CHAR(10))-1))&amp;" ",FIND(".",(" "&amp;LEFT(SUBSTITUTE(A85,CHAR(13),""),FIND(CHAR(10),SUBSTITUTE(A85,CHAR(13),"")&amp;CHAR(10))-1))))-(FIND("~",SUBSTITUTE(LEFT((" "&amp;LEFT(SUBSTITUTE(A85,CHAR(13),""),FIND(CHAR(10),SUBSTITUTE(A85,CHAR(13),"")&amp;CHAR(10))-1)),FIND(".",(" "&amp;LEFT(SUBSTITUTE(A85,CHAR(13),""),FIND(CHAR(10),SUBSTITUTE(A85,CHAR(13),"")&amp;CHAR(10))-1))))," ","~",LEN(LEFT((" "&amp;LEFT(SUBSTITUTE(A85,CHAR(13),""),FIND(CHAR(10),SUBSTITUTE(A85,CHAR(13),"")&amp;CHAR(10))-1)),FIND(".",(" "&amp;LEFT(SUBSTITUTE(A85,CHAR(13),""),FIND(CHAR(10),SUBSTITUTE(A85,CHAR(13),"")&amp;CHAR(10))-1)))))-LEN(SUBSTITUTE(LEFT((" "&amp;LEFT(SUBSTITUTE(A85,CHAR(13),""),FIND(CHAR(10),SUBSTITUTE(A85,CHAR(13),"")&amp;CHAR(10))-1)),FIND(".",(" "&amp;LEFT(SUBSTITUTE(A85,CHAR(13),""),FIND(CHAR(10),SUBSTITUTE(A85,CHAR(13),"")&amp;CHAR(10))-1))))," ",""))))+1)),""))</f>
        <v/>
      </c>
    </row>
    <row r="86" customFormat="false" ht="30" hidden="false" customHeight="true" outlineLevel="0" collapsed="false">
      <c r="A86" s="11" t="str">
        <f aca="false">IFERROR(INDEX(Pegar!$A$3:$A$1002,MATCH(82,Pegar!$B$3:$B$1002,0))&amp;IF(LEFT(INDEX(Pegar!$A$3:$A$1003,MATCH(82,Pegar!$B$3:$B$1002,0)+1),5)="DESC=",CHAR(10)&amp;INDEX(Pegar!$A$3:$A$1003,MATCH(82,Pegar!$B$3:$B$1002,0)+1),""),"")</f>
        <v/>
      </c>
      <c r="B86" s="12" t="str">
        <f aca="false">IF(TRIM(A86)="","",IFERROR(MID(SUBSTITUTE(SUBSTITUTE(A86,CHAR(10)," "),CHAR(13)," "),FIND(" MT"," "&amp;SUBSTITUTE(SUBSTITUTE(A86,CHAR(10)," "),CHAR(13)," ")),FIND(" ",SUBSTITUTE(SUBSTITUTE(A86,CHAR(10)," "),CHAR(13)," ")&amp;" ",FIND(" MT"," "&amp;SUBSTITUTE(SUBSTITUTE(A86,CHAR(10)," "),CHAR(13)," ")))-FIND(" MT"," "&amp;SUBSTITUTE(SUBSTITUTE(A86,CHAR(10)," "),CHAR(13)," "))),"MT no encontrado"))</f>
        <v/>
      </c>
      <c r="C86" s="15" t="str">
        <f aca="false">IF(TRIM(A86)="","",IF(D86="",FALSE(),SUBSTITUTE(SUBSTITUTE(SUBSTITUTE(D86,".",""),"0",""),"-","")&lt;&gt;""))</f>
        <v/>
      </c>
      <c r="D86" s="14" t="str">
        <f aca="false">IF(TRIM(A86)="","",IFERROR(MID((" "&amp;LEFT(SUBSTITUTE(A86,CHAR(13),""),FIND(CHAR(10),SUBSTITUTE(A86,CHAR(13),"")&amp;CHAR(10))-1)),(FIND("~",SUBSTITUTE(LEFT((" "&amp;LEFT(SUBSTITUTE(A86,CHAR(13),""),FIND(CHAR(10),SUBSTITUTE(A86,CHAR(13),"")&amp;CHAR(10))-1)),FIND(".",(" "&amp;LEFT(SUBSTITUTE(A86,CHAR(13),""),FIND(CHAR(10),SUBSTITUTE(A86,CHAR(13),"")&amp;CHAR(10))-1))))," ","~",LEN(LEFT((" "&amp;LEFT(SUBSTITUTE(A86,CHAR(13),""),FIND(CHAR(10),SUBSTITUTE(A86,CHAR(13),"")&amp;CHAR(10))-1)),FIND(".",(" "&amp;LEFT(SUBSTITUTE(A86,CHAR(13),""),FIND(CHAR(10),SUBSTITUTE(A86,CHAR(13),"")&amp;CHAR(10))-1)))))-LEN(SUBSTITUTE(LEFT((" "&amp;LEFT(SUBSTITUTE(A86,CHAR(13),""),FIND(CHAR(10),SUBSTITUTE(A86,CHAR(13),"")&amp;CHAR(10))-1)),FIND(".",(" "&amp;LEFT(SUBSTITUTE(A86,CHAR(13),""),FIND(CHAR(10),SUBSTITUTE(A86,CHAR(13),"")&amp;CHAR(10))-1))))," ",""))))+1),FIND(" ",(" "&amp;LEFT(SUBSTITUTE(A86,CHAR(13),""),FIND(CHAR(10),SUBSTITUTE(A86,CHAR(13),"")&amp;CHAR(10))-1))&amp;" ",FIND(".",(" "&amp;LEFT(SUBSTITUTE(A86,CHAR(13),""),FIND(CHAR(10),SUBSTITUTE(A86,CHAR(13),"")&amp;CHAR(10))-1))))-(FIND("~",SUBSTITUTE(LEFT((" "&amp;LEFT(SUBSTITUTE(A86,CHAR(13),""),FIND(CHAR(10),SUBSTITUTE(A86,CHAR(13),"")&amp;CHAR(10))-1)),FIND(".",(" "&amp;LEFT(SUBSTITUTE(A86,CHAR(13),""),FIND(CHAR(10),SUBSTITUTE(A86,CHAR(13),"")&amp;CHAR(10))-1))))," ","~",LEN(LEFT((" "&amp;LEFT(SUBSTITUTE(A86,CHAR(13),""),FIND(CHAR(10),SUBSTITUTE(A86,CHAR(13),"")&amp;CHAR(10))-1)),FIND(".",(" "&amp;LEFT(SUBSTITUTE(A86,CHAR(13),""),FIND(CHAR(10),SUBSTITUTE(A86,CHAR(13),"")&amp;CHAR(10))-1)))))-LEN(SUBSTITUTE(LEFT((" "&amp;LEFT(SUBSTITUTE(A86,CHAR(13),""),FIND(CHAR(10),SUBSTITUTE(A86,CHAR(13),"")&amp;CHAR(10))-1)),FIND(".",(" "&amp;LEFT(SUBSTITUTE(A86,CHAR(13),""),FIND(CHAR(10),SUBSTITUTE(A86,CHAR(13),"")&amp;CHAR(10))-1))))," ",""))))+1)),""))</f>
        <v/>
      </c>
    </row>
    <row r="87" customFormat="false" ht="30" hidden="false" customHeight="true" outlineLevel="0" collapsed="false">
      <c r="A87" s="11" t="str">
        <f aca="false">IFERROR(INDEX(Pegar!$A$3:$A$1002,MATCH(83,Pegar!$B$3:$B$1002,0))&amp;IF(LEFT(INDEX(Pegar!$A$3:$A$1003,MATCH(83,Pegar!$B$3:$B$1002,0)+1),5)="DESC=",CHAR(10)&amp;INDEX(Pegar!$A$3:$A$1003,MATCH(83,Pegar!$B$3:$B$1002,0)+1),""),"")</f>
        <v/>
      </c>
      <c r="B87" s="12" t="str">
        <f aca="false">IF(TRIM(A87)="","",IFERROR(MID(SUBSTITUTE(SUBSTITUTE(A87,CHAR(10)," "),CHAR(13)," "),FIND(" MT"," "&amp;SUBSTITUTE(SUBSTITUTE(A87,CHAR(10)," "),CHAR(13)," ")),FIND(" ",SUBSTITUTE(SUBSTITUTE(A87,CHAR(10)," "),CHAR(13)," ")&amp;" ",FIND(" MT"," "&amp;SUBSTITUTE(SUBSTITUTE(A87,CHAR(10)," "),CHAR(13)," ")))-FIND(" MT"," "&amp;SUBSTITUTE(SUBSTITUTE(A87,CHAR(10)," "),CHAR(13)," "))),"MT no encontrado"))</f>
        <v/>
      </c>
      <c r="C87" s="15" t="str">
        <f aca="false">IF(TRIM(A87)="","",IF(D87="",FALSE(),SUBSTITUTE(SUBSTITUTE(SUBSTITUTE(D87,".",""),"0",""),"-","")&lt;&gt;""))</f>
        <v/>
      </c>
      <c r="D87" s="14" t="str">
        <f aca="false">IF(TRIM(A87)="","",IFERROR(MID((" "&amp;LEFT(SUBSTITUTE(A87,CHAR(13),""),FIND(CHAR(10),SUBSTITUTE(A87,CHAR(13),"")&amp;CHAR(10))-1)),(FIND("~",SUBSTITUTE(LEFT((" "&amp;LEFT(SUBSTITUTE(A87,CHAR(13),""),FIND(CHAR(10),SUBSTITUTE(A87,CHAR(13),"")&amp;CHAR(10))-1)),FIND(".",(" "&amp;LEFT(SUBSTITUTE(A87,CHAR(13),""),FIND(CHAR(10),SUBSTITUTE(A87,CHAR(13),"")&amp;CHAR(10))-1))))," ","~",LEN(LEFT((" "&amp;LEFT(SUBSTITUTE(A87,CHAR(13),""),FIND(CHAR(10),SUBSTITUTE(A87,CHAR(13),"")&amp;CHAR(10))-1)),FIND(".",(" "&amp;LEFT(SUBSTITUTE(A87,CHAR(13),""),FIND(CHAR(10),SUBSTITUTE(A87,CHAR(13),"")&amp;CHAR(10))-1)))))-LEN(SUBSTITUTE(LEFT((" "&amp;LEFT(SUBSTITUTE(A87,CHAR(13),""),FIND(CHAR(10),SUBSTITUTE(A87,CHAR(13),"")&amp;CHAR(10))-1)),FIND(".",(" "&amp;LEFT(SUBSTITUTE(A87,CHAR(13),""),FIND(CHAR(10),SUBSTITUTE(A87,CHAR(13),"")&amp;CHAR(10))-1))))," ",""))))+1),FIND(" ",(" "&amp;LEFT(SUBSTITUTE(A87,CHAR(13),""),FIND(CHAR(10),SUBSTITUTE(A87,CHAR(13),"")&amp;CHAR(10))-1))&amp;" ",FIND(".",(" "&amp;LEFT(SUBSTITUTE(A87,CHAR(13),""),FIND(CHAR(10),SUBSTITUTE(A87,CHAR(13),"")&amp;CHAR(10))-1))))-(FIND("~",SUBSTITUTE(LEFT((" "&amp;LEFT(SUBSTITUTE(A87,CHAR(13),""),FIND(CHAR(10),SUBSTITUTE(A87,CHAR(13),"")&amp;CHAR(10))-1)),FIND(".",(" "&amp;LEFT(SUBSTITUTE(A87,CHAR(13),""),FIND(CHAR(10),SUBSTITUTE(A87,CHAR(13),"")&amp;CHAR(10))-1))))," ","~",LEN(LEFT((" "&amp;LEFT(SUBSTITUTE(A87,CHAR(13),""),FIND(CHAR(10),SUBSTITUTE(A87,CHAR(13),"")&amp;CHAR(10))-1)),FIND(".",(" "&amp;LEFT(SUBSTITUTE(A87,CHAR(13),""),FIND(CHAR(10),SUBSTITUTE(A87,CHAR(13),"")&amp;CHAR(10))-1)))))-LEN(SUBSTITUTE(LEFT((" "&amp;LEFT(SUBSTITUTE(A87,CHAR(13),""),FIND(CHAR(10),SUBSTITUTE(A87,CHAR(13),"")&amp;CHAR(10))-1)),FIND(".",(" "&amp;LEFT(SUBSTITUTE(A87,CHAR(13),""),FIND(CHAR(10),SUBSTITUTE(A87,CHAR(13),"")&amp;CHAR(10))-1))))," ",""))))+1)),""))</f>
        <v/>
      </c>
    </row>
    <row r="88" customFormat="false" ht="30" hidden="false" customHeight="true" outlineLevel="0" collapsed="false">
      <c r="A88" s="11" t="str">
        <f aca="false">IFERROR(INDEX(Pegar!$A$3:$A$1002,MATCH(84,Pegar!$B$3:$B$1002,0))&amp;IF(LEFT(INDEX(Pegar!$A$3:$A$1003,MATCH(84,Pegar!$B$3:$B$1002,0)+1),5)="DESC=",CHAR(10)&amp;INDEX(Pegar!$A$3:$A$1003,MATCH(84,Pegar!$B$3:$B$1002,0)+1),""),"")</f>
        <v/>
      </c>
      <c r="B88" s="12" t="str">
        <f aca="false">IF(TRIM(A88)="","",IFERROR(MID(SUBSTITUTE(SUBSTITUTE(A88,CHAR(10)," "),CHAR(13)," "),FIND(" MT"," "&amp;SUBSTITUTE(SUBSTITUTE(A88,CHAR(10)," "),CHAR(13)," ")),FIND(" ",SUBSTITUTE(SUBSTITUTE(A88,CHAR(10)," "),CHAR(13)," ")&amp;" ",FIND(" MT"," "&amp;SUBSTITUTE(SUBSTITUTE(A88,CHAR(10)," "),CHAR(13)," ")))-FIND(" MT"," "&amp;SUBSTITUTE(SUBSTITUTE(A88,CHAR(10)," "),CHAR(13)," "))),"MT no encontrado"))</f>
        <v/>
      </c>
      <c r="C88" s="15" t="str">
        <f aca="false">IF(TRIM(A88)="","",IF(D88="",FALSE(),SUBSTITUTE(SUBSTITUTE(SUBSTITUTE(D88,".",""),"0",""),"-","")&lt;&gt;""))</f>
        <v/>
      </c>
      <c r="D88" s="14" t="str">
        <f aca="false">IF(TRIM(A88)="","",IFERROR(MID((" "&amp;LEFT(SUBSTITUTE(A88,CHAR(13),""),FIND(CHAR(10),SUBSTITUTE(A88,CHAR(13),"")&amp;CHAR(10))-1)),(FIND("~",SUBSTITUTE(LEFT((" "&amp;LEFT(SUBSTITUTE(A88,CHAR(13),""),FIND(CHAR(10),SUBSTITUTE(A88,CHAR(13),"")&amp;CHAR(10))-1)),FIND(".",(" "&amp;LEFT(SUBSTITUTE(A88,CHAR(13),""),FIND(CHAR(10),SUBSTITUTE(A88,CHAR(13),"")&amp;CHAR(10))-1))))," ","~",LEN(LEFT((" "&amp;LEFT(SUBSTITUTE(A88,CHAR(13),""),FIND(CHAR(10),SUBSTITUTE(A88,CHAR(13),"")&amp;CHAR(10))-1)),FIND(".",(" "&amp;LEFT(SUBSTITUTE(A88,CHAR(13),""),FIND(CHAR(10),SUBSTITUTE(A88,CHAR(13),"")&amp;CHAR(10))-1)))))-LEN(SUBSTITUTE(LEFT((" "&amp;LEFT(SUBSTITUTE(A88,CHAR(13),""),FIND(CHAR(10),SUBSTITUTE(A88,CHAR(13),"")&amp;CHAR(10))-1)),FIND(".",(" "&amp;LEFT(SUBSTITUTE(A88,CHAR(13),""),FIND(CHAR(10),SUBSTITUTE(A88,CHAR(13),"")&amp;CHAR(10))-1))))," ",""))))+1),FIND(" ",(" "&amp;LEFT(SUBSTITUTE(A88,CHAR(13),""),FIND(CHAR(10),SUBSTITUTE(A88,CHAR(13),"")&amp;CHAR(10))-1))&amp;" ",FIND(".",(" "&amp;LEFT(SUBSTITUTE(A88,CHAR(13),""),FIND(CHAR(10),SUBSTITUTE(A88,CHAR(13),"")&amp;CHAR(10))-1))))-(FIND("~",SUBSTITUTE(LEFT((" "&amp;LEFT(SUBSTITUTE(A88,CHAR(13),""),FIND(CHAR(10),SUBSTITUTE(A88,CHAR(13),"")&amp;CHAR(10))-1)),FIND(".",(" "&amp;LEFT(SUBSTITUTE(A88,CHAR(13),""),FIND(CHAR(10),SUBSTITUTE(A88,CHAR(13),"")&amp;CHAR(10))-1))))," ","~",LEN(LEFT((" "&amp;LEFT(SUBSTITUTE(A88,CHAR(13),""),FIND(CHAR(10),SUBSTITUTE(A88,CHAR(13),"")&amp;CHAR(10))-1)),FIND(".",(" "&amp;LEFT(SUBSTITUTE(A88,CHAR(13),""),FIND(CHAR(10),SUBSTITUTE(A88,CHAR(13),"")&amp;CHAR(10))-1)))))-LEN(SUBSTITUTE(LEFT((" "&amp;LEFT(SUBSTITUTE(A88,CHAR(13),""),FIND(CHAR(10),SUBSTITUTE(A88,CHAR(13),"")&amp;CHAR(10))-1)),FIND(".",(" "&amp;LEFT(SUBSTITUTE(A88,CHAR(13),""),FIND(CHAR(10),SUBSTITUTE(A88,CHAR(13),"")&amp;CHAR(10))-1))))," ",""))))+1)),""))</f>
        <v/>
      </c>
    </row>
    <row r="89" customFormat="false" ht="30" hidden="false" customHeight="true" outlineLevel="0" collapsed="false">
      <c r="A89" s="11" t="str">
        <f aca="false">IFERROR(INDEX(Pegar!$A$3:$A$1002,MATCH(85,Pegar!$B$3:$B$1002,0))&amp;IF(LEFT(INDEX(Pegar!$A$3:$A$1003,MATCH(85,Pegar!$B$3:$B$1002,0)+1),5)="DESC=",CHAR(10)&amp;INDEX(Pegar!$A$3:$A$1003,MATCH(85,Pegar!$B$3:$B$1002,0)+1),""),"")</f>
        <v/>
      </c>
      <c r="B89" s="12" t="str">
        <f aca="false">IF(TRIM(A89)="","",IFERROR(MID(SUBSTITUTE(SUBSTITUTE(A89,CHAR(10)," "),CHAR(13)," "),FIND(" MT"," "&amp;SUBSTITUTE(SUBSTITUTE(A89,CHAR(10)," "),CHAR(13)," ")),FIND(" ",SUBSTITUTE(SUBSTITUTE(A89,CHAR(10)," "),CHAR(13)," ")&amp;" ",FIND(" MT"," "&amp;SUBSTITUTE(SUBSTITUTE(A89,CHAR(10)," "),CHAR(13)," ")))-FIND(" MT"," "&amp;SUBSTITUTE(SUBSTITUTE(A89,CHAR(10)," "),CHAR(13)," "))),"MT no encontrado"))</f>
        <v/>
      </c>
      <c r="C89" s="15" t="str">
        <f aca="false">IF(TRIM(A89)="","",IF(D89="",FALSE(),SUBSTITUTE(SUBSTITUTE(SUBSTITUTE(D89,".",""),"0",""),"-","")&lt;&gt;""))</f>
        <v/>
      </c>
      <c r="D89" s="14" t="str">
        <f aca="false">IF(TRIM(A89)="","",IFERROR(MID((" "&amp;LEFT(SUBSTITUTE(A89,CHAR(13),""),FIND(CHAR(10),SUBSTITUTE(A89,CHAR(13),"")&amp;CHAR(10))-1)),(FIND("~",SUBSTITUTE(LEFT((" "&amp;LEFT(SUBSTITUTE(A89,CHAR(13),""),FIND(CHAR(10),SUBSTITUTE(A89,CHAR(13),"")&amp;CHAR(10))-1)),FIND(".",(" "&amp;LEFT(SUBSTITUTE(A89,CHAR(13),""),FIND(CHAR(10),SUBSTITUTE(A89,CHAR(13),"")&amp;CHAR(10))-1))))," ","~",LEN(LEFT((" "&amp;LEFT(SUBSTITUTE(A89,CHAR(13),""),FIND(CHAR(10),SUBSTITUTE(A89,CHAR(13),"")&amp;CHAR(10))-1)),FIND(".",(" "&amp;LEFT(SUBSTITUTE(A89,CHAR(13),""),FIND(CHAR(10),SUBSTITUTE(A89,CHAR(13),"")&amp;CHAR(10))-1)))))-LEN(SUBSTITUTE(LEFT((" "&amp;LEFT(SUBSTITUTE(A89,CHAR(13),""),FIND(CHAR(10),SUBSTITUTE(A89,CHAR(13),"")&amp;CHAR(10))-1)),FIND(".",(" "&amp;LEFT(SUBSTITUTE(A89,CHAR(13),""),FIND(CHAR(10),SUBSTITUTE(A89,CHAR(13),"")&amp;CHAR(10))-1))))," ",""))))+1),FIND(" ",(" "&amp;LEFT(SUBSTITUTE(A89,CHAR(13),""),FIND(CHAR(10),SUBSTITUTE(A89,CHAR(13),"")&amp;CHAR(10))-1))&amp;" ",FIND(".",(" "&amp;LEFT(SUBSTITUTE(A89,CHAR(13),""),FIND(CHAR(10),SUBSTITUTE(A89,CHAR(13),"")&amp;CHAR(10))-1))))-(FIND("~",SUBSTITUTE(LEFT((" "&amp;LEFT(SUBSTITUTE(A89,CHAR(13),""),FIND(CHAR(10),SUBSTITUTE(A89,CHAR(13),"")&amp;CHAR(10))-1)),FIND(".",(" "&amp;LEFT(SUBSTITUTE(A89,CHAR(13),""),FIND(CHAR(10),SUBSTITUTE(A89,CHAR(13),"")&amp;CHAR(10))-1))))," ","~",LEN(LEFT((" "&amp;LEFT(SUBSTITUTE(A89,CHAR(13),""),FIND(CHAR(10),SUBSTITUTE(A89,CHAR(13),"")&amp;CHAR(10))-1)),FIND(".",(" "&amp;LEFT(SUBSTITUTE(A89,CHAR(13),""),FIND(CHAR(10),SUBSTITUTE(A89,CHAR(13),"")&amp;CHAR(10))-1)))))-LEN(SUBSTITUTE(LEFT((" "&amp;LEFT(SUBSTITUTE(A89,CHAR(13),""),FIND(CHAR(10),SUBSTITUTE(A89,CHAR(13),"")&amp;CHAR(10))-1)),FIND(".",(" "&amp;LEFT(SUBSTITUTE(A89,CHAR(13),""),FIND(CHAR(10),SUBSTITUTE(A89,CHAR(13),"")&amp;CHAR(10))-1))))," ",""))))+1)),""))</f>
        <v/>
      </c>
    </row>
    <row r="90" customFormat="false" ht="30" hidden="false" customHeight="true" outlineLevel="0" collapsed="false">
      <c r="A90" s="11" t="str">
        <f aca="false">IFERROR(INDEX(Pegar!$A$3:$A$1002,MATCH(86,Pegar!$B$3:$B$1002,0))&amp;IF(LEFT(INDEX(Pegar!$A$3:$A$1003,MATCH(86,Pegar!$B$3:$B$1002,0)+1),5)="DESC=",CHAR(10)&amp;INDEX(Pegar!$A$3:$A$1003,MATCH(86,Pegar!$B$3:$B$1002,0)+1),""),"")</f>
        <v/>
      </c>
      <c r="B90" s="12" t="str">
        <f aca="false">IF(TRIM(A90)="","",IFERROR(MID(SUBSTITUTE(SUBSTITUTE(A90,CHAR(10)," "),CHAR(13)," "),FIND(" MT"," "&amp;SUBSTITUTE(SUBSTITUTE(A90,CHAR(10)," "),CHAR(13)," ")),FIND(" ",SUBSTITUTE(SUBSTITUTE(A90,CHAR(10)," "),CHAR(13)," ")&amp;" ",FIND(" MT"," "&amp;SUBSTITUTE(SUBSTITUTE(A90,CHAR(10)," "),CHAR(13)," ")))-FIND(" MT"," "&amp;SUBSTITUTE(SUBSTITUTE(A90,CHAR(10)," "),CHAR(13)," "))),"MT no encontrado"))</f>
        <v/>
      </c>
      <c r="C90" s="15" t="str">
        <f aca="false">IF(TRIM(A90)="","",IF(D90="",FALSE(),SUBSTITUTE(SUBSTITUTE(SUBSTITUTE(D90,".",""),"0",""),"-","")&lt;&gt;""))</f>
        <v/>
      </c>
      <c r="D90" s="14" t="str">
        <f aca="false">IF(TRIM(A90)="","",IFERROR(MID((" "&amp;LEFT(SUBSTITUTE(A90,CHAR(13),""),FIND(CHAR(10),SUBSTITUTE(A90,CHAR(13),"")&amp;CHAR(10))-1)),(FIND("~",SUBSTITUTE(LEFT((" "&amp;LEFT(SUBSTITUTE(A90,CHAR(13),""),FIND(CHAR(10),SUBSTITUTE(A90,CHAR(13),"")&amp;CHAR(10))-1)),FIND(".",(" "&amp;LEFT(SUBSTITUTE(A90,CHAR(13),""),FIND(CHAR(10),SUBSTITUTE(A90,CHAR(13),"")&amp;CHAR(10))-1))))," ","~",LEN(LEFT((" "&amp;LEFT(SUBSTITUTE(A90,CHAR(13),""),FIND(CHAR(10),SUBSTITUTE(A90,CHAR(13),"")&amp;CHAR(10))-1)),FIND(".",(" "&amp;LEFT(SUBSTITUTE(A90,CHAR(13),""),FIND(CHAR(10),SUBSTITUTE(A90,CHAR(13),"")&amp;CHAR(10))-1)))))-LEN(SUBSTITUTE(LEFT((" "&amp;LEFT(SUBSTITUTE(A90,CHAR(13),""),FIND(CHAR(10),SUBSTITUTE(A90,CHAR(13),"")&amp;CHAR(10))-1)),FIND(".",(" "&amp;LEFT(SUBSTITUTE(A90,CHAR(13),""),FIND(CHAR(10),SUBSTITUTE(A90,CHAR(13),"")&amp;CHAR(10))-1))))," ",""))))+1),FIND(" ",(" "&amp;LEFT(SUBSTITUTE(A90,CHAR(13),""),FIND(CHAR(10),SUBSTITUTE(A90,CHAR(13),"")&amp;CHAR(10))-1))&amp;" ",FIND(".",(" "&amp;LEFT(SUBSTITUTE(A90,CHAR(13),""),FIND(CHAR(10),SUBSTITUTE(A90,CHAR(13),"")&amp;CHAR(10))-1))))-(FIND("~",SUBSTITUTE(LEFT((" "&amp;LEFT(SUBSTITUTE(A90,CHAR(13),""),FIND(CHAR(10),SUBSTITUTE(A90,CHAR(13),"")&amp;CHAR(10))-1)),FIND(".",(" "&amp;LEFT(SUBSTITUTE(A90,CHAR(13),""),FIND(CHAR(10),SUBSTITUTE(A90,CHAR(13),"")&amp;CHAR(10))-1))))," ","~",LEN(LEFT((" "&amp;LEFT(SUBSTITUTE(A90,CHAR(13),""),FIND(CHAR(10),SUBSTITUTE(A90,CHAR(13),"")&amp;CHAR(10))-1)),FIND(".",(" "&amp;LEFT(SUBSTITUTE(A90,CHAR(13),""),FIND(CHAR(10),SUBSTITUTE(A90,CHAR(13),"")&amp;CHAR(10))-1)))))-LEN(SUBSTITUTE(LEFT((" "&amp;LEFT(SUBSTITUTE(A90,CHAR(13),""),FIND(CHAR(10),SUBSTITUTE(A90,CHAR(13),"")&amp;CHAR(10))-1)),FIND(".",(" "&amp;LEFT(SUBSTITUTE(A90,CHAR(13),""),FIND(CHAR(10),SUBSTITUTE(A90,CHAR(13),"")&amp;CHAR(10))-1))))," ",""))))+1)),""))</f>
        <v/>
      </c>
    </row>
    <row r="91" customFormat="false" ht="30" hidden="false" customHeight="true" outlineLevel="0" collapsed="false">
      <c r="A91" s="11" t="str">
        <f aca="false">IFERROR(INDEX(Pegar!$A$3:$A$1002,MATCH(87,Pegar!$B$3:$B$1002,0))&amp;IF(LEFT(INDEX(Pegar!$A$3:$A$1003,MATCH(87,Pegar!$B$3:$B$1002,0)+1),5)="DESC=",CHAR(10)&amp;INDEX(Pegar!$A$3:$A$1003,MATCH(87,Pegar!$B$3:$B$1002,0)+1),""),"")</f>
        <v/>
      </c>
      <c r="B91" s="12" t="str">
        <f aca="false">IF(TRIM(A91)="","",IFERROR(MID(SUBSTITUTE(SUBSTITUTE(A91,CHAR(10)," "),CHAR(13)," "),FIND(" MT"," "&amp;SUBSTITUTE(SUBSTITUTE(A91,CHAR(10)," "),CHAR(13)," ")),FIND(" ",SUBSTITUTE(SUBSTITUTE(A91,CHAR(10)," "),CHAR(13)," ")&amp;" ",FIND(" MT"," "&amp;SUBSTITUTE(SUBSTITUTE(A91,CHAR(10)," "),CHAR(13)," ")))-FIND(" MT"," "&amp;SUBSTITUTE(SUBSTITUTE(A91,CHAR(10)," "),CHAR(13)," "))),"MT no encontrado"))</f>
        <v/>
      </c>
      <c r="C91" s="15" t="str">
        <f aca="false">IF(TRIM(A91)="","",IF(D91="",FALSE(),SUBSTITUTE(SUBSTITUTE(SUBSTITUTE(D91,".",""),"0",""),"-","")&lt;&gt;""))</f>
        <v/>
      </c>
      <c r="D91" s="14" t="str">
        <f aca="false">IF(TRIM(A91)="","",IFERROR(MID((" "&amp;LEFT(SUBSTITUTE(A91,CHAR(13),""),FIND(CHAR(10),SUBSTITUTE(A91,CHAR(13),"")&amp;CHAR(10))-1)),(FIND("~",SUBSTITUTE(LEFT((" "&amp;LEFT(SUBSTITUTE(A91,CHAR(13),""),FIND(CHAR(10),SUBSTITUTE(A91,CHAR(13),"")&amp;CHAR(10))-1)),FIND(".",(" "&amp;LEFT(SUBSTITUTE(A91,CHAR(13),""),FIND(CHAR(10),SUBSTITUTE(A91,CHAR(13),"")&amp;CHAR(10))-1))))," ","~",LEN(LEFT((" "&amp;LEFT(SUBSTITUTE(A91,CHAR(13),""),FIND(CHAR(10),SUBSTITUTE(A91,CHAR(13),"")&amp;CHAR(10))-1)),FIND(".",(" "&amp;LEFT(SUBSTITUTE(A91,CHAR(13),""),FIND(CHAR(10),SUBSTITUTE(A91,CHAR(13),"")&amp;CHAR(10))-1)))))-LEN(SUBSTITUTE(LEFT((" "&amp;LEFT(SUBSTITUTE(A91,CHAR(13),""),FIND(CHAR(10),SUBSTITUTE(A91,CHAR(13),"")&amp;CHAR(10))-1)),FIND(".",(" "&amp;LEFT(SUBSTITUTE(A91,CHAR(13),""),FIND(CHAR(10),SUBSTITUTE(A91,CHAR(13),"")&amp;CHAR(10))-1))))," ",""))))+1),FIND(" ",(" "&amp;LEFT(SUBSTITUTE(A91,CHAR(13),""),FIND(CHAR(10),SUBSTITUTE(A91,CHAR(13),"")&amp;CHAR(10))-1))&amp;" ",FIND(".",(" "&amp;LEFT(SUBSTITUTE(A91,CHAR(13),""),FIND(CHAR(10),SUBSTITUTE(A91,CHAR(13),"")&amp;CHAR(10))-1))))-(FIND("~",SUBSTITUTE(LEFT((" "&amp;LEFT(SUBSTITUTE(A91,CHAR(13),""),FIND(CHAR(10),SUBSTITUTE(A91,CHAR(13),"")&amp;CHAR(10))-1)),FIND(".",(" "&amp;LEFT(SUBSTITUTE(A91,CHAR(13),""),FIND(CHAR(10),SUBSTITUTE(A91,CHAR(13),"")&amp;CHAR(10))-1))))," ","~",LEN(LEFT((" "&amp;LEFT(SUBSTITUTE(A91,CHAR(13),""),FIND(CHAR(10),SUBSTITUTE(A91,CHAR(13),"")&amp;CHAR(10))-1)),FIND(".",(" "&amp;LEFT(SUBSTITUTE(A91,CHAR(13),""),FIND(CHAR(10),SUBSTITUTE(A91,CHAR(13),"")&amp;CHAR(10))-1)))))-LEN(SUBSTITUTE(LEFT((" "&amp;LEFT(SUBSTITUTE(A91,CHAR(13),""),FIND(CHAR(10),SUBSTITUTE(A91,CHAR(13),"")&amp;CHAR(10))-1)),FIND(".",(" "&amp;LEFT(SUBSTITUTE(A91,CHAR(13),""),FIND(CHAR(10),SUBSTITUTE(A91,CHAR(13),"")&amp;CHAR(10))-1))))," ",""))))+1)),""))</f>
        <v/>
      </c>
    </row>
    <row r="92" customFormat="false" ht="30" hidden="false" customHeight="true" outlineLevel="0" collapsed="false">
      <c r="A92" s="11" t="str">
        <f aca="false">IFERROR(INDEX(Pegar!$A$3:$A$1002,MATCH(88,Pegar!$B$3:$B$1002,0))&amp;IF(LEFT(INDEX(Pegar!$A$3:$A$1003,MATCH(88,Pegar!$B$3:$B$1002,0)+1),5)="DESC=",CHAR(10)&amp;INDEX(Pegar!$A$3:$A$1003,MATCH(88,Pegar!$B$3:$B$1002,0)+1),""),"")</f>
        <v/>
      </c>
      <c r="B92" s="12" t="str">
        <f aca="false">IF(TRIM(A92)="","",IFERROR(MID(SUBSTITUTE(SUBSTITUTE(A92,CHAR(10)," "),CHAR(13)," "),FIND(" MT"," "&amp;SUBSTITUTE(SUBSTITUTE(A92,CHAR(10)," "),CHAR(13)," ")),FIND(" ",SUBSTITUTE(SUBSTITUTE(A92,CHAR(10)," "),CHAR(13)," ")&amp;" ",FIND(" MT"," "&amp;SUBSTITUTE(SUBSTITUTE(A92,CHAR(10)," "),CHAR(13)," ")))-FIND(" MT"," "&amp;SUBSTITUTE(SUBSTITUTE(A92,CHAR(10)," "),CHAR(13)," "))),"MT no encontrado"))</f>
        <v/>
      </c>
      <c r="C92" s="15" t="str">
        <f aca="false">IF(TRIM(A92)="","",IF(D92="",FALSE(),SUBSTITUTE(SUBSTITUTE(SUBSTITUTE(D92,".",""),"0",""),"-","")&lt;&gt;""))</f>
        <v/>
      </c>
      <c r="D92" s="14" t="str">
        <f aca="false">IF(TRIM(A92)="","",IFERROR(MID((" "&amp;LEFT(SUBSTITUTE(A92,CHAR(13),""),FIND(CHAR(10),SUBSTITUTE(A92,CHAR(13),"")&amp;CHAR(10))-1)),(FIND("~",SUBSTITUTE(LEFT((" "&amp;LEFT(SUBSTITUTE(A92,CHAR(13),""),FIND(CHAR(10),SUBSTITUTE(A92,CHAR(13),"")&amp;CHAR(10))-1)),FIND(".",(" "&amp;LEFT(SUBSTITUTE(A92,CHAR(13),""),FIND(CHAR(10),SUBSTITUTE(A92,CHAR(13),"")&amp;CHAR(10))-1))))," ","~",LEN(LEFT((" "&amp;LEFT(SUBSTITUTE(A92,CHAR(13),""),FIND(CHAR(10),SUBSTITUTE(A92,CHAR(13),"")&amp;CHAR(10))-1)),FIND(".",(" "&amp;LEFT(SUBSTITUTE(A92,CHAR(13),""),FIND(CHAR(10),SUBSTITUTE(A92,CHAR(13),"")&amp;CHAR(10))-1)))))-LEN(SUBSTITUTE(LEFT((" "&amp;LEFT(SUBSTITUTE(A92,CHAR(13),""),FIND(CHAR(10),SUBSTITUTE(A92,CHAR(13),"")&amp;CHAR(10))-1)),FIND(".",(" "&amp;LEFT(SUBSTITUTE(A92,CHAR(13),""),FIND(CHAR(10),SUBSTITUTE(A92,CHAR(13),"")&amp;CHAR(10))-1))))," ",""))))+1),FIND(" ",(" "&amp;LEFT(SUBSTITUTE(A92,CHAR(13),""),FIND(CHAR(10),SUBSTITUTE(A92,CHAR(13),"")&amp;CHAR(10))-1))&amp;" ",FIND(".",(" "&amp;LEFT(SUBSTITUTE(A92,CHAR(13),""),FIND(CHAR(10),SUBSTITUTE(A92,CHAR(13),"")&amp;CHAR(10))-1))))-(FIND("~",SUBSTITUTE(LEFT((" "&amp;LEFT(SUBSTITUTE(A92,CHAR(13),""),FIND(CHAR(10),SUBSTITUTE(A92,CHAR(13),"")&amp;CHAR(10))-1)),FIND(".",(" "&amp;LEFT(SUBSTITUTE(A92,CHAR(13),""),FIND(CHAR(10),SUBSTITUTE(A92,CHAR(13),"")&amp;CHAR(10))-1))))," ","~",LEN(LEFT((" "&amp;LEFT(SUBSTITUTE(A92,CHAR(13),""),FIND(CHAR(10),SUBSTITUTE(A92,CHAR(13),"")&amp;CHAR(10))-1)),FIND(".",(" "&amp;LEFT(SUBSTITUTE(A92,CHAR(13),""),FIND(CHAR(10),SUBSTITUTE(A92,CHAR(13),"")&amp;CHAR(10))-1)))))-LEN(SUBSTITUTE(LEFT((" "&amp;LEFT(SUBSTITUTE(A92,CHAR(13),""),FIND(CHAR(10),SUBSTITUTE(A92,CHAR(13),"")&amp;CHAR(10))-1)),FIND(".",(" "&amp;LEFT(SUBSTITUTE(A92,CHAR(13),""),FIND(CHAR(10),SUBSTITUTE(A92,CHAR(13),"")&amp;CHAR(10))-1))))," ",""))))+1)),""))</f>
        <v/>
      </c>
    </row>
    <row r="93" customFormat="false" ht="30" hidden="false" customHeight="true" outlineLevel="0" collapsed="false">
      <c r="A93" s="11" t="str">
        <f aca="false">IFERROR(INDEX(Pegar!$A$3:$A$1002,MATCH(89,Pegar!$B$3:$B$1002,0))&amp;IF(LEFT(INDEX(Pegar!$A$3:$A$1003,MATCH(89,Pegar!$B$3:$B$1002,0)+1),5)="DESC=",CHAR(10)&amp;INDEX(Pegar!$A$3:$A$1003,MATCH(89,Pegar!$B$3:$B$1002,0)+1),""),"")</f>
        <v/>
      </c>
      <c r="B93" s="12" t="str">
        <f aca="false">IF(TRIM(A93)="","",IFERROR(MID(SUBSTITUTE(SUBSTITUTE(A93,CHAR(10)," "),CHAR(13)," "),FIND(" MT"," "&amp;SUBSTITUTE(SUBSTITUTE(A93,CHAR(10)," "),CHAR(13)," ")),FIND(" ",SUBSTITUTE(SUBSTITUTE(A93,CHAR(10)," "),CHAR(13)," ")&amp;" ",FIND(" MT"," "&amp;SUBSTITUTE(SUBSTITUTE(A93,CHAR(10)," "),CHAR(13)," ")))-FIND(" MT"," "&amp;SUBSTITUTE(SUBSTITUTE(A93,CHAR(10)," "),CHAR(13)," "))),"MT no encontrado"))</f>
        <v/>
      </c>
      <c r="C93" s="15" t="str">
        <f aca="false">IF(TRIM(A93)="","",IF(D93="",FALSE(),SUBSTITUTE(SUBSTITUTE(SUBSTITUTE(D93,".",""),"0",""),"-","")&lt;&gt;""))</f>
        <v/>
      </c>
      <c r="D93" s="14" t="str">
        <f aca="false">IF(TRIM(A93)="","",IFERROR(MID((" "&amp;LEFT(SUBSTITUTE(A93,CHAR(13),""),FIND(CHAR(10),SUBSTITUTE(A93,CHAR(13),"")&amp;CHAR(10))-1)),(FIND("~",SUBSTITUTE(LEFT((" "&amp;LEFT(SUBSTITUTE(A93,CHAR(13),""),FIND(CHAR(10),SUBSTITUTE(A93,CHAR(13),"")&amp;CHAR(10))-1)),FIND(".",(" "&amp;LEFT(SUBSTITUTE(A93,CHAR(13),""),FIND(CHAR(10),SUBSTITUTE(A93,CHAR(13),"")&amp;CHAR(10))-1))))," ","~",LEN(LEFT((" "&amp;LEFT(SUBSTITUTE(A93,CHAR(13),""),FIND(CHAR(10),SUBSTITUTE(A93,CHAR(13),"")&amp;CHAR(10))-1)),FIND(".",(" "&amp;LEFT(SUBSTITUTE(A93,CHAR(13),""),FIND(CHAR(10),SUBSTITUTE(A93,CHAR(13),"")&amp;CHAR(10))-1)))))-LEN(SUBSTITUTE(LEFT((" "&amp;LEFT(SUBSTITUTE(A93,CHAR(13),""),FIND(CHAR(10),SUBSTITUTE(A93,CHAR(13),"")&amp;CHAR(10))-1)),FIND(".",(" "&amp;LEFT(SUBSTITUTE(A93,CHAR(13),""),FIND(CHAR(10),SUBSTITUTE(A93,CHAR(13),"")&amp;CHAR(10))-1))))," ",""))))+1),FIND(" ",(" "&amp;LEFT(SUBSTITUTE(A93,CHAR(13),""),FIND(CHAR(10),SUBSTITUTE(A93,CHAR(13),"")&amp;CHAR(10))-1))&amp;" ",FIND(".",(" "&amp;LEFT(SUBSTITUTE(A93,CHAR(13),""),FIND(CHAR(10),SUBSTITUTE(A93,CHAR(13),"")&amp;CHAR(10))-1))))-(FIND("~",SUBSTITUTE(LEFT((" "&amp;LEFT(SUBSTITUTE(A93,CHAR(13),""),FIND(CHAR(10),SUBSTITUTE(A93,CHAR(13),"")&amp;CHAR(10))-1)),FIND(".",(" "&amp;LEFT(SUBSTITUTE(A93,CHAR(13),""),FIND(CHAR(10),SUBSTITUTE(A93,CHAR(13),"")&amp;CHAR(10))-1))))," ","~",LEN(LEFT((" "&amp;LEFT(SUBSTITUTE(A93,CHAR(13),""),FIND(CHAR(10),SUBSTITUTE(A93,CHAR(13),"")&amp;CHAR(10))-1)),FIND(".",(" "&amp;LEFT(SUBSTITUTE(A93,CHAR(13),""),FIND(CHAR(10),SUBSTITUTE(A93,CHAR(13),"")&amp;CHAR(10))-1)))))-LEN(SUBSTITUTE(LEFT((" "&amp;LEFT(SUBSTITUTE(A93,CHAR(13),""),FIND(CHAR(10),SUBSTITUTE(A93,CHAR(13),"")&amp;CHAR(10))-1)),FIND(".",(" "&amp;LEFT(SUBSTITUTE(A93,CHAR(13),""),FIND(CHAR(10),SUBSTITUTE(A93,CHAR(13),"")&amp;CHAR(10))-1))))," ",""))))+1)),""))</f>
        <v/>
      </c>
    </row>
    <row r="94" customFormat="false" ht="30" hidden="false" customHeight="true" outlineLevel="0" collapsed="false">
      <c r="A94" s="11" t="str">
        <f aca="false">IFERROR(INDEX(Pegar!$A$3:$A$1002,MATCH(90,Pegar!$B$3:$B$1002,0))&amp;IF(LEFT(INDEX(Pegar!$A$3:$A$1003,MATCH(90,Pegar!$B$3:$B$1002,0)+1),5)="DESC=",CHAR(10)&amp;INDEX(Pegar!$A$3:$A$1003,MATCH(90,Pegar!$B$3:$B$1002,0)+1),""),"")</f>
        <v/>
      </c>
      <c r="B94" s="12" t="str">
        <f aca="false">IF(TRIM(A94)="","",IFERROR(MID(SUBSTITUTE(SUBSTITUTE(A94,CHAR(10)," "),CHAR(13)," "),FIND(" MT"," "&amp;SUBSTITUTE(SUBSTITUTE(A94,CHAR(10)," "),CHAR(13)," ")),FIND(" ",SUBSTITUTE(SUBSTITUTE(A94,CHAR(10)," "),CHAR(13)," ")&amp;" ",FIND(" MT"," "&amp;SUBSTITUTE(SUBSTITUTE(A94,CHAR(10)," "),CHAR(13)," ")))-FIND(" MT"," "&amp;SUBSTITUTE(SUBSTITUTE(A94,CHAR(10)," "),CHAR(13)," "))),"MT no encontrado"))</f>
        <v/>
      </c>
      <c r="C94" s="15" t="str">
        <f aca="false">IF(TRIM(A94)="","",IF(D94="",FALSE(),SUBSTITUTE(SUBSTITUTE(SUBSTITUTE(D94,".",""),"0",""),"-","")&lt;&gt;""))</f>
        <v/>
      </c>
      <c r="D94" s="14" t="str">
        <f aca="false">IF(TRIM(A94)="","",IFERROR(MID((" "&amp;LEFT(SUBSTITUTE(A94,CHAR(13),""),FIND(CHAR(10),SUBSTITUTE(A94,CHAR(13),"")&amp;CHAR(10))-1)),(FIND("~",SUBSTITUTE(LEFT((" "&amp;LEFT(SUBSTITUTE(A94,CHAR(13),""),FIND(CHAR(10),SUBSTITUTE(A94,CHAR(13),"")&amp;CHAR(10))-1)),FIND(".",(" "&amp;LEFT(SUBSTITUTE(A94,CHAR(13),""),FIND(CHAR(10),SUBSTITUTE(A94,CHAR(13),"")&amp;CHAR(10))-1))))," ","~",LEN(LEFT((" "&amp;LEFT(SUBSTITUTE(A94,CHAR(13),""),FIND(CHAR(10),SUBSTITUTE(A94,CHAR(13),"")&amp;CHAR(10))-1)),FIND(".",(" "&amp;LEFT(SUBSTITUTE(A94,CHAR(13),""),FIND(CHAR(10),SUBSTITUTE(A94,CHAR(13),"")&amp;CHAR(10))-1)))))-LEN(SUBSTITUTE(LEFT((" "&amp;LEFT(SUBSTITUTE(A94,CHAR(13),""),FIND(CHAR(10),SUBSTITUTE(A94,CHAR(13),"")&amp;CHAR(10))-1)),FIND(".",(" "&amp;LEFT(SUBSTITUTE(A94,CHAR(13),""),FIND(CHAR(10),SUBSTITUTE(A94,CHAR(13),"")&amp;CHAR(10))-1))))," ",""))))+1),FIND(" ",(" "&amp;LEFT(SUBSTITUTE(A94,CHAR(13),""),FIND(CHAR(10),SUBSTITUTE(A94,CHAR(13),"")&amp;CHAR(10))-1))&amp;" ",FIND(".",(" "&amp;LEFT(SUBSTITUTE(A94,CHAR(13),""),FIND(CHAR(10),SUBSTITUTE(A94,CHAR(13),"")&amp;CHAR(10))-1))))-(FIND("~",SUBSTITUTE(LEFT((" "&amp;LEFT(SUBSTITUTE(A94,CHAR(13),""),FIND(CHAR(10),SUBSTITUTE(A94,CHAR(13),"")&amp;CHAR(10))-1)),FIND(".",(" "&amp;LEFT(SUBSTITUTE(A94,CHAR(13),""),FIND(CHAR(10),SUBSTITUTE(A94,CHAR(13),"")&amp;CHAR(10))-1))))," ","~",LEN(LEFT((" "&amp;LEFT(SUBSTITUTE(A94,CHAR(13),""),FIND(CHAR(10),SUBSTITUTE(A94,CHAR(13),"")&amp;CHAR(10))-1)),FIND(".",(" "&amp;LEFT(SUBSTITUTE(A94,CHAR(13),""),FIND(CHAR(10),SUBSTITUTE(A94,CHAR(13),"")&amp;CHAR(10))-1)))))-LEN(SUBSTITUTE(LEFT((" "&amp;LEFT(SUBSTITUTE(A94,CHAR(13),""),FIND(CHAR(10),SUBSTITUTE(A94,CHAR(13),"")&amp;CHAR(10))-1)),FIND(".",(" "&amp;LEFT(SUBSTITUTE(A94,CHAR(13),""),FIND(CHAR(10),SUBSTITUTE(A94,CHAR(13),"")&amp;CHAR(10))-1))))," ",""))))+1)),""))</f>
        <v/>
      </c>
    </row>
    <row r="95" customFormat="false" ht="30" hidden="false" customHeight="true" outlineLevel="0" collapsed="false">
      <c r="A95" s="11" t="str">
        <f aca="false">IFERROR(INDEX(Pegar!$A$3:$A$1002,MATCH(91,Pegar!$B$3:$B$1002,0))&amp;IF(LEFT(INDEX(Pegar!$A$3:$A$1003,MATCH(91,Pegar!$B$3:$B$1002,0)+1),5)="DESC=",CHAR(10)&amp;INDEX(Pegar!$A$3:$A$1003,MATCH(91,Pegar!$B$3:$B$1002,0)+1),""),"")</f>
        <v/>
      </c>
      <c r="B95" s="12" t="str">
        <f aca="false">IF(TRIM(A95)="","",IFERROR(MID(SUBSTITUTE(SUBSTITUTE(A95,CHAR(10)," "),CHAR(13)," "),FIND(" MT"," "&amp;SUBSTITUTE(SUBSTITUTE(A95,CHAR(10)," "),CHAR(13)," ")),FIND(" ",SUBSTITUTE(SUBSTITUTE(A95,CHAR(10)," "),CHAR(13)," ")&amp;" ",FIND(" MT"," "&amp;SUBSTITUTE(SUBSTITUTE(A95,CHAR(10)," "),CHAR(13)," ")))-FIND(" MT"," "&amp;SUBSTITUTE(SUBSTITUTE(A95,CHAR(10)," "),CHAR(13)," "))),"MT no encontrado"))</f>
        <v/>
      </c>
      <c r="C95" s="15" t="str">
        <f aca="false">IF(TRIM(A95)="","",IF(D95="",FALSE(),SUBSTITUTE(SUBSTITUTE(SUBSTITUTE(D95,".",""),"0",""),"-","")&lt;&gt;""))</f>
        <v/>
      </c>
      <c r="D95" s="14" t="str">
        <f aca="false">IF(TRIM(A95)="","",IFERROR(MID((" "&amp;LEFT(SUBSTITUTE(A95,CHAR(13),""),FIND(CHAR(10),SUBSTITUTE(A95,CHAR(13),"")&amp;CHAR(10))-1)),(FIND("~",SUBSTITUTE(LEFT((" "&amp;LEFT(SUBSTITUTE(A95,CHAR(13),""),FIND(CHAR(10),SUBSTITUTE(A95,CHAR(13),"")&amp;CHAR(10))-1)),FIND(".",(" "&amp;LEFT(SUBSTITUTE(A95,CHAR(13),""),FIND(CHAR(10),SUBSTITUTE(A95,CHAR(13),"")&amp;CHAR(10))-1))))," ","~",LEN(LEFT((" "&amp;LEFT(SUBSTITUTE(A95,CHAR(13),""),FIND(CHAR(10),SUBSTITUTE(A95,CHAR(13),"")&amp;CHAR(10))-1)),FIND(".",(" "&amp;LEFT(SUBSTITUTE(A95,CHAR(13),""),FIND(CHAR(10),SUBSTITUTE(A95,CHAR(13),"")&amp;CHAR(10))-1)))))-LEN(SUBSTITUTE(LEFT((" "&amp;LEFT(SUBSTITUTE(A95,CHAR(13),""),FIND(CHAR(10),SUBSTITUTE(A95,CHAR(13),"")&amp;CHAR(10))-1)),FIND(".",(" "&amp;LEFT(SUBSTITUTE(A95,CHAR(13),""),FIND(CHAR(10),SUBSTITUTE(A95,CHAR(13),"")&amp;CHAR(10))-1))))," ",""))))+1),FIND(" ",(" "&amp;LEFT(SUBSTITUTE(A95,CHAR(13),""),FIND(CHAR(10),SUBSTITUTE(A95,CHAR(13),"")&amp;CHAR(10))-1))&amp;" ",FIND(".",(" "&amp;LEFT(SUBSTITUTE(A95,CHAR(13),""),FIND(CHAR(10),SUBSTITUTE(A95,CHAR(13),"")&amp;CHAR(10))-1))))-(FIND("~",SUBSTITUTE(LEFT((" "&amp;LEFT(SUBSTITUTE(A95,CHAR(13),""),FIND(CHAR(10),SUBSTITUTE(A95,CHAR(13),"")&amp;CHAR(10))-1)),FIND(".",(" "&amp;LEFT(SUBSTITUTE(A95,CHAR(13),""),FIND(CHAR(10),SUBSTITUTE(A95,CHAR(13),"")&amp;CHAR(10))-1))))," ","~",LEN(LEFT((" "&amp;LEFT(SUBSTITUTE(A95,CHAR(13),""),FIND(CHAR(10),SUBSTITUTE(A95,CHAR(13),"")&amp;CHAR(10))-1)),FIND(".",(" "&amp;LEFT(SUBSTITUTE(A95,CHAR(13),""),FIND(CHAR(10),SUBSTITUTE(A95,CHAR(13),"")&amp;CHAR(10))-1)))))-LEN(SUBSTITUTE(LEFT((" "&amp;LEFT(SUBSTITUTE(A95,CHAR(13),""),FIND(CHAR(10),SUBSTITUTE(A95,CHAR(13),"")&amp;CHAR(10))-1)),FIND(".",(" "&amp;LEFT(SUBSTITUTE(A95,CHAR(13),""),FIND(CHAR(10),SUBSTITUTE(A95,CHAR(13),"")&amp;CHAR(10))-1))))," ",""))))+1)),""))</f>
        <v/>
      </c>
    </row>
    <row r="96" customFormat="false" ht="30" hidden="false" customHeight="true" outlineLevel="0" collapsed="false">
      <c r="A96" s="11" t="str">
        <f aca="false">IFERROR(INDEX(Pegar!$A$3:$A$1002,MATCH(92,Pegar!$B$3:$B$1002,0))&amp;IF(LEFT(INDEX(Pegar!$A$3:$A$1003,MATCH(92,Pegar!$B$3:$B$1002,0)+1),5)="DESC=",CHAR(10)&amp;INDEX(Pegar!$A$3:$A$1003,MATCH(92,Pegar!$B$3:$B$1002,0)+1),""),"")</f>
        <v/>
      </c>
      <c r="B96" s="12" t="str">
        <f aca="false">IF(TRIM(A96)="","",IFERROR(MID(SUBSTITUTE(SUBSTITUTE(A96,CHAR(10)," "),CHAR(13)," "),FIND(" MT"," "&amp;SUBSTITUTE(SUBSTITUTE(A96,CHAR(10)," "),CHAR(13)," ")),FIND(" ",SUBSTITUTE(SUBSTITUTE(A96,CHAR(10)," "),CHAR(13)," ")&amp;" ",FIND(" MT"," "&amp;SUBSTITUTE(SUBSTITUTE(A96,CHAR(10)," "),CHAR(13)," ")))-FIND(" MT"," "&amp;SUBSTITUTE(SUBSTITUTE(A96,CHAR(10)," "),CHAR(13)," "))),"MT no encontrado"))</f>
        <v/>
      </c>
      <c r="C96" s="15" t="str">
        <f aca="false">IF(TRIM(A96)="","",IF(D96="",FALSE(),SUBSTITUTE(SUBSTITUTE(SUBSTITUTE(D96,".",""),"0",""),"-","")&lt;&gt;""))</f>
        <v/>
      </c>
      <c r="D96" s="14" t="str">
        <f aca="false">IF(TRIM(A96)="","",IFERROR(MID((" "&amp;LEFT(SUBSTITUTE(A96,CHAR(13),""),FIND(CHAR(10),SUBSTITUTE(A96,CHAR(13),"")&amp;CHAR(10))-1)),(FIND("~",SUBSTITUTE(LEFT((" "&amp;LEFT(SUBSTITUTE(A96,CHAR(13),""),FIND(CHAR(10),SUBSTITUTE(A96,CHAR(13),"")&amp;CHAR(10))-1)),FIND(".",(" "&amp;LEFT(SUBSTITUTE(A96,CHAR(13),""),FIND(CHAR(10),SUBSTITUTE(A96,CHAR(13),"")&amp;CHAR(10))-1))))," ","~",LEN(LEFT((" "&amp;LEFT(SUBSTITUTE(A96,CHAR(13),""),FIND(CHAR(10),SUBSTITUTE(A96,CHAR(13),"")&amp;CHAR(10))-1)),FIND(".",(" "&amp;LEFT(SUBSTITUTE(A96,CHAR(13),""),FIND(CHAR(10),SUBSTITUTE(A96,CHAR(13),"")&amp;CHAR(10))-1)))))-LEN(SUBSTITUTE(LEFT((" "&amp;LEFT(SUBSTITUTE(A96,CHAR(13),""),FIND(CHAR(10),SUBSTITUTE(A96,CHAR(13),"")&amp;CHAR(10))-1)),FIND(".",(" "&amp;LEFT(SUBSTITUTE(A96,CHAR(13),""),FIND(CHAR(10),SUBSTITUTE(A96,CHAR(13),"")&amp;CHAR(10))-1))))," ",""))))+1),FIND(" ",(" "&amp;LEFT(SUBSTITUTE(A96,CHAR(13),""),FIND(CHAR(10),SUBSTITUTE(A96,CHAR(13),"")&amp;CHAR(10))-1))&amp;" ",FIND(".",(" "&amp;LEFT(SUBSTITUTE(A96,CHAR(13),""),FIND(CHAR(10),SUBSTITUTE(A96,CHAR(13),"")&amp;CHAR(10))-1))))-(FIND("~",SUBSTITUTE(LEFT((" "&amp;LEFT(SUBSTITUTE(A96,CHAR(13),""),FIND(CHAR(10),SUBSTITUTE(A96,CHAR(13),"")&amp;CHAR(10))-1)),FIND(".",(" "&amp;LEFT(SUBSTITUTE(A96,CHAR(13),""),FIND(CHAR(10),SUBSTITUTE(A96,CHAR(13),"")&amp;CHAR(10))-1))))," ","~",LEN(LEFT((" "&amp;LEFT(SUBSTITUTE(A96,CHAR(13),""),FIND(CHAR(10),SUBSTITUTE(A96,CHAR(13),"")&amp;CHAR(10))-1)),FIND(".",(" "&amp;LEFT(SUBSTITUTE(A96,CHAR(13),""),FIND(CHAR(10),SUBSTITUTE(A96,CHAR(13),"")&amp;CHAR(10))-1)))))-LEN(SUBSTITUTE(LEFT((" "&amp;LEFT(SUBSTITUTE(A96,CHAR(13),""),FIND(CHAR(10),SUBSTITUTE(A96,CHAR(13),"")&amp;CHAR(10))-1)),FIND(".",(" "&amp;LEFT(SUBSTITUTE(A96,CHAR(13),""),FIND(CHAR(10),SUBSTITUTE(A96,CHAR(13),"")&amp;CHAR(10))-1))))," ",""))))+1)),""))</f>
        <v/>
      </c>
    </row>
    <row r="97" customFormat="false" ht="30" hidden="false" customHeight="true" outlineLevel="0" collapsed="false">
      <c r="A97" s="11" t="str">
        <f aca="false">IFERROR(INDEX(Pegar!$A$3:$A$1002,MATCH(93,Pegar!$B$3:$B$1002,0))&amp;IF(LEFT(INDEX(Pegar!$A$3:$A$1003,MATCH(93,Pegar!$B$3:$B$1002,0)+1),5)="DESC=",CHAR(10)&amp;INDEX(Pegar!$A$3:$A$1003,MATCH(93,Pegar!$B$3:$B$1002,0)+1),""),"")</f>
        <v/>
      </c>
      <c r="B97" s="12" t="str">
        <f aca="false">IF(TRIM(A97)="","",IFERROR(MID(SUBSTITUTE(SUBSTITUTE(A97,CHAR(10)," "),CHAR(13)," "),FIND(" MT"," "&amp;SUBSTITUTE(SUBSTITUTE(A97,CHAR(10)," "),CHAR(13)," ")),FIND(" ",SUBSTITUTE(SUBSTITUTE(A97,CHAR(10)," "),CHAR(13)," ")&amp;" ",FIND(" MT"," "&amp;SUBSTITUTE(SUBSTITUTE(A97,CHAR(10)," "),CHAR(13)," ")))-FIND(" MT"," "&amp;SUBSTITUTE(SUBSTITUTE(A97,CHAR(10)," "),CHAR(13)," "))),"MT no encontrado"))</f>
        <v/>
      </c>
      <c r="C97" s="15" t="str">
        <f aca="false">IF(TRIM(A97)="","",IF(D97="",FALSE(),SUBSTITUTE(SUBSTITUTE(SUBSTITUTE(D97,".",""),"0",""),"-","")&lt;&gt;""))</f>
        <v/>
      </c>
      <c r="D97" s="14" t="str">
        <f aca="false">IF(TRIM(A97)="","",IFERROR(MID((" "&amp;LEFT(SUBSTITUTE(A97,CHAR(13),""),FIND(CHAR(10),SUBSTITUTE(A97,CHAR(13),"")&amp;CHAR(10))-1)),(FIND("~",SUBSTITUTE(LEFT((" "&amp;LEFT(SUBSTITUTE(A97,CHAR(13),""),FIND(CHAR(10),SUBSTITUTE(A97,CHAR(13),"")&amp;CHAR(10))-1)),FIND(".",(" "&amp;LEFT(SUBSTITUTE(A97,CHAR(13),""),FIND(CHAR(10),SUBSTITUTE(A97,CHAR(13),"")&amp;CHAR(10))-1))))," ","~",LEN(LEFT((" "&amp;LEFT(SUBSTITUTE(A97,CHAR(13),""),FIND(CHAR(10),SUBSTITUTE(A97,CHAR(13),"")&amp;CHAR(10))-1)),FIND(".",(" "&amp;LEFT(SUBSTITUTE(A97,CHAR(13),""),FIND(CHAR(10),SUBSTITUTE(A97,CHAR(13),"")&amp;CHAR(10))-1)))))-LEN(SUBSTITUTE(LEFT((" "&amp;LEFT(SUBSTITUTE(A97,CHAR(13),""),FIND(CHAR(10),SUBSTITUTE(A97,CHAR(13),"")&amp;CHAR(10))-1)),FIND(".",(" "&amp;LEFT(SUBSTITUTE(A97,CHAR(13),""),FIND(CHAR(10),SUBSTITUTE(A97,CHAR(13),"")&amp;CHAR(10))-1))))," ",""))))+1),FIND(" ",(" "&amp;LEFT(SUBSTITUTE(A97,CHAR(13),""),FIND(CHAR(10),SUBSTITUTE(A97,CHAR(13),"")&amp;CHAR(10))-1))&amp;" ",FIND(".",(" "&amp;LEFT(SUBSTITUTE(A97,CHAR(13),""),FIND(CHAR(10),SUBSTITUTE(A97,CHAR(13),"")&amp;CHAR(10))-1))))-(FIND("~",SUBSTITUTE(LEFT((" "&amp;LEFT(SUBSTITUTE(A97,CHAR(13),""),FIND(CHAR(10),SUBSTITUTE(A97,CHAR(13),"")&amp;CHAR(10))-1)),FIND(".",(" "&amp;LEFT(SUBSTITUTE(A97,CHAR(13),""),FIND(CHAR(10),SUBSTITUTE(A97,CHAR(13),"")&amp;CHAR(10))-1))))," ","~",LEN(LEFT((" "&amp;LEFT(SUBSTITUTE(A97,CHAR(13),""),FIND(CHAR(10),SUBSTITUTE(A97,CHAR(13),"")&amp;CHAR(10))-1)),FIND(".",(" "&amp;LEFT(SUBSTITUTE(A97,CHAR(13),""),FIND(CHAR(10),SUBSTITUTE(A97,CHAR(13),"")&amp;CHAR(10))-1)))))-LEN(SUBSTITUTE(LEFT((" "&amp;LEFT(SUBSTITUTE(A97,CHAR(13),""),FIND(CHAR(10),SUBSTITUTE(A97,CHAR(13),"")&amp;CHAR(10))-1)),FIND(".",(" "&amp;LEFT(SUBSTITUTE(A97,CHAR(13),""),FIND(CHAR(10),SUBSTITUTE(A97,CHAR(13),"")&amp;CHAR(10))-1))))," ",""))))+1)),""))</f>
        <v/>
      </c>
    </row>
    <row r="98" customFormat="false" ht="30" hidden="false" customHeight="true" outlineLevel="0" collapsed="false">
      <c r="A98" s="11" t="str">
        <f aca="false">IFERROR(INDEX(Pegar!$A$3:$A$1002,MATCH(94,Pegar!$B$3:$B$1002,0))&amp;IF(LEFT(INDEX(Pegar!$A$3:$A$1003,MATCH(94,Pegar!$B$3:$B$1002,0)+1),5)="DESC=",CHAR(10)&amp;INDEX(Pegar!$A$3:$A$1003,MATCH(94,Pegar!$B$3:$B$1002,0)+1),""),"")</f>
        <v/>
      </c>
      <c r="B98" s="12" t="str">
        <f aca="false">IF(TRIM(A98)="","",IFERROR(MID(SUBSTITUTE(SUBSTITUTE(A98,CHAR(10)," "),CHAR(13)," "),FIND(" MT"," "&amp;SUBSTITUTE(SUBSTITUTE(A98,CHAR(10)," "),CHAR(13)," ")),FIND(" ",SUBSTITUTE(SUBSTITUTE(A98,CHAR(10)," "),CHAR(13)," ")&amp;" ",FIND(" MT"," "&amp;SUBSTITUTE(SUBSTITUTE(A98,CHAR(10)," "),CHAR(13)," ")))-FIND(" MT"," "&amp;SUBSTITUTE(SUBSTITUTE(A98,CHAR(10)," "),CHAR(13)," "))),"MT no encontrado"))</f>
        <v/>
      </c>
      <c r="C98" s="15" t="str">
        <f aca="false">IF(TRIM(A98)="","",IF(D98="",FALSE(),SUBSTITUTE(SUBSTITUTE(SUBSTITUTE(D98,".",""),"0",""),"-","")&lt;&gt;""))</f>
        <v/>
      </c>
      <c r="D98" s="14" t="str">
        <f aca="false">IF(TRIM(A98)="","",IFERROR(MID((" "&amp;LEFT(SUBSTITUTE(A98,CHAR(13),""),FIND(CHAR(10),SUBSTITUTE(A98,CHAR(13),"")&amp;CHAR(10))-1)),(FIND("~",SUBSTITUTE(LEFT((" "&amp;LEFT(SUBSTITUTE(A98,CHAR(13),""),FIND(CHAR(10),SUBSTITUTE(A98,CHAR(13),"")&amp;CHAR(10))-1)),FIND(".",(" "&amp;LEFT(SUBSTITUTE(A98,CHAR(13),""),FIND(CHAR(10),SUBSTITUTE(A98,CHAR(13),"")&amp;CHAR(10))-1))))," ","~",LEN(LEFT((" "&amp;LEFT(SUBSTITUTE(A98,CHAR(13),""),FIND(CHAR(10),SUBSTITUTE(A98,CHAR(13),"")&amp;CHAR(10))-1)),FIND(".",(" "&amp;LEFT(SUBSTITUTE(A98,CHAR(13),""),FIND(CHAR(10),SUBSTITUTE(A98,CHAR(13),"")&amp;CHAR(10))-1)))))-LEN(SUBSTITUTE(LEFT((" "&amp;LEFT(SUBSTITUTE(A98,CHAR(13),""),FIND(CHAR(10),SUBSTITUTE(A98,CHAR(13),"")&amp;CHAR(10))-1)),FIND(".",(" "&amp;LEFT(SUBSTITUTE(A98,CHAR(13),""),FIND(CHAR(10),SUBSTITUTE(A98,CHAR(13),"")&amp;CHAR(10))-1))))," ",""))))+1),FIND(" ",(" "&amp;LEFT(SUBSTITUTE(A98,CHAR(13),""),FIND(CHAR(10),SUBSTITUTE(A98,CHAR(13),"")&amp;CHAR(10))-1))&amp;" ",FIND(".",(" "&amp;LEFT(SUBSTITUTE(A98,CHAR(13),""),FIND(CHAR(10),SUBSTITUTE(A98,CHAR(13),"")&amp;CHAR(10))-1))))-(FIND("~",SUBSTITUTE(LEFT((" "&amp;LEFT(SUBSTITUTE(A98,CHAR(13),""),FIND(CHAR(10),SUBSTITUTE(A98,CHAR(13),"")&amp;CHAR(10))-1)),FIND(".",(" "&amp;LEFT(SUBSTITUTE(A98,CHAR(13),""),FIND(CHAR(10),SUBSTITUTE(A98,CHAR(13),"")&amp;CHAR(10))-1))))," ","~",LEN(LEFT((" "&amp;LEFT(SUBSTITUTE(A98,CHAR(13),""),FIND(CHAR(10),SUBSTITUTE(A98,CHAR(13),"")&amp;CHAR(10))-1)),FIND(".",(" "&amp;LEFT(SUBSTITUTE(A98,CHAR(13),""),FIND(CHAR(10),SUBSTITUTE(A98,CHAR(13),"")&amp;CHAR(10))-1)))))-LEN(SUBSTITUTE(LEFT((" "&amp;LEFT(SUBSTITUTE(A98,CHAR(13),""),FIND(CHAR(10),SUBSTITUTE(A98,CHAR(13),"")&amp;CHAR(10))-1)),FIND(".",(" "&amp;LEFT(SUBSTITUTE(A98,CHAR(13),""),FIND(CHAR(10),SUBSTITUTE(A98,CHAR(13),"")&amp;CHAR(10))-1))))," ",""))))+1)),""))</f>
        <v/>
      </c>
    </row>
    <row r="99" customFormat="false" ht="30" hidden="false" customHeight="true" outlineLevel="0" collapsed="false">
      <c r="A99" s="11" t="str">
        <f aca="false">IFERROR(INDEX(Pegar!$A$3:$A$1002,MATCH(95,Pegar!$B$3:$B$1002,0))&amp;IF(LEFT(INDEX(Pegar!$A$3:$A$1003,MATCH(95,Pegar!$B$3:$B$1002,0)+1),5)="DESC=",CHAR(10)&amp;INDEX(Pegar!$A$3:$A$1003,MATCH(95,Pegar!$B$3:$B$1002,0)+1),""),"")</f>
        <v/>
      </c>
      <c r="B99" s="12" t="str">
        <f aca="false">IF(TRIM(A99)="","",IFERROR(MID(SUBSTITUTE(SUBSTITUTE(A99,CHAR(10)," "),CHAR(13)," "),FIND(" MT"," "&amp;SUBSTITUTE(SUBSTITUTE(A99,CHAR(10)," "),CHAR(13)," ")),FIND(" ",SUBSTITUTE(SUBSTITUTE(A99,CHAR(10)," "),CHAR(13)," ")&amp;" ",FIND(" MT"," "&amp;SUBSTITUTE(SUBSTITUTE(A99,CHAR(10)," "),CHAR(13)," ")))-FIND(" MT"," "&amp;SUBSTITUTE(SUBSTITUTE(A99,CHAR(10)," "),CHAR(13)," "))),"MT no encontrado"))</f>
        <v/>
      </c>
      <c r="C99" s="15" t="str">
        <f aca="false">IF(TRIM(A99)="","",IF(D99="",FALSE(),SUBSTITUTE(SUBSTITUTE(SUBSTITUTE(D99,".",""),"0",""),"-","")&lt;&gt;""))</f>
        <v/>
      </c>
      <c r="D99" s="14" t="str">
        <f aca="false">IF(TRIM(A99)="","",IFERROR(MID((" "&amp;LEFT(SUBSTITUTE(A99,CHAR(13),""),FIND(CHAR(10),SUBSTITUTE(A99,CHAR(13),"")&amp;CHAR(10))-1)),(FIND("~",SUBSTITUTE(LEFT((" "&amp;LEFT(SUBSTITUTE(A99,CHAR(13),""),FIND(CHAR(10),SUBSTITUTE(A99,CHAR(13),"")&amp;CHAR(10))-1)),FIND(".",(" "&amp;LEFT(SUBSTITUTE(A99,CHAR(13),""),FIND(CHAR(10),SUBSTITUTE(A99,CHAR(13),"")&amp;CHAR(10))-1))))," ","~",LEN(LEFT((" "&amp;LEFT(SUBSTITUTE(A99,CHAR(13),""),FIND(CHAR(10),SUBSTITUTE(A99,CHAR(13),"")&amp;CHAR(10))-1)),FIND(".",(" "&amp;LEFT(SUBSTITUTE(A99,CHAR(13),""),FIND(CHAR(10),SUBSTITUTE(A99,CHAR(13),"")&amp;CHAR(10))-1)))))-LEN(SUBSTITUTE(LEFT((" "&amp;LEFT(SUBSTITUTE(A99,CHAR(13),""),FIND(CHAR(10),SUBSTITUTE(A99,CHAR(13),"")&amp;CHAR(10))-1)),FIND(".",(" "&amp;LEFT(SUBSTITUTE(A99,CHAR(13),""),FIND(CHAR(10),SUBSTITUTE(A99,CHAR(13),"")&amp;CHAR(10))-1))))," ",""))))+1),FIND(" ",(" "&amp;LEFT(SUBSTITUTE(A99,CHAR(13),""),FIND(CHAR(10),SUBSTITUTE(A99,CHAR(13),"")&amp;CHAR(10))-1))&amp;" ",FIND(".",(" "&amp;LEFT(SUBSTITUTE(A99,CHAR(13),""),FIND(CHAR(10),SUBSTITUTE(A99,CHAR(13),"")&amp;CHAR(10))-1))))-(FIND("~",SUBSTITUTE(LEFT((" "&amp;LEFT(SUBSTITUTE(A99,CHAR(13),""),FIND(CHAR(10),SUBSTITUTE(A99,CHAR(13),"")&amp;CHAR(10))-1)),FIND(".",(" "&amp;LEFT(SUBSTITUTE(A99,CHAR(13),""),FIND(CHAR(10),SUBSTITUTE(A99,CHAR(13),"")&amp;CHAR(10))-1))))," ","~",LEN(LEFT((" "&amp;LEFT(SUBSTITUTE(A99,CHAR(13),""),FIND(CHAR(10),SUBSTITUTE(A99,CHAR(13),"")&amp;CHAR(10))-1)),FIND(".",(" "&amp;LEFT(SUBSTITUTE(A99,CHAR(13),""),FIND(CHAR(10),SUBSTITUTE(A99,CHAR(13),"")&amp;CHAR(10))-1)))))-LEN(SUBSTITUTE(LEFT((" "&amp;LEFT(SUBSTITUTE(A99,CHAR(13),""),FIND(CHAR(10),SUBSTITUTE(A99,CHAR(13),"")&amp;CHAR(10))-1)),FIND(".",(" "&amp;LEFT(SUBSTITUTE(A99,CHAR(13),""),FIND(CHAR(10),SUBSTITUTE(A99,CHAR(13),"")&amp;CHAR(10))-1))))," ",""))))+1)),""))</f>
        <v/>
      </c>
    </row>
    <row r="100" customFormat="false" ht="30" hidden="false" customHeight="true" outlineLevel="0" collapsed="false">
      <c r="A100" s="11" t="str">
        <f aca="false">IFERROR(INDEX(Pegar!$A$3:$A$1002,MATCH(96,Pegar!$B$3:$B$1002,0))&amp;IF(LEFT(INDEX(Pegar!$A$3:$A$1003,MATCH(96,Pegar!$B$3:$B$1002,0)+1),5)="DESC=",CHAR(10)&amp;INDEX(Pegar!$A$3:$A$1003,MATCH(96,Pegar!$B$3:$B$1002,0)+1),""),"")</f>
        <v/>
      </c>
      <c r="B100" s="12" t="str">
        <f aca="false">IF(TRIM(A100)="","",IFERROR(MID(SUBSTITUTE(SUBSTITUTE(A100,CHAR(10)," "),CHAR(13)," "),FIND(" MT"," "&amp;SUBSTITUTE(SUBSTITUTE(A100,CHAR(10)," "),CHAR(13)," ")),FIND(" ",SUBSTITUTE(SUBSTITUTE(A100,CHAR(10)," "),CHAR(13)," ")&amp;" ",FIND(" MT"," "&amp;SUBSTITUTE(SUBSTITUTE(A100,CHAR(10)," "),CHAR(13)," ")))-FIND(" MT"," "&amp;SUBSTITUTE(SUBSTITUTE(A100,CHAR(10)," "),CHAR(13)," "))),"MT no encontrado"))</f>
        <v/>
      </c>
      <c r="C100" s="15" t="str">
        <f aca="false">IF(TRIM(A100)="","",IF(D100="",FALSE(),SUBSTITUTE(SUBSTITUTE(SUBSTITUTE(D100,".",""),"0",""),"-","")&lt;&gt;""))</f>
        <v/>
      </c>
      <c r="D100" s="14" t="str">
        <f aca="false">IF(TRIM(A100)="","",IFERROR(MID((" "&amp;LEFT(SUBSTITUTE(A100,CHAR(13),""),FIND(CHAR(10),SUBSTITUTE(A100,CHAR(13),"")&amp;CHAR(10))-1)),(FIND("~",SUBSTITUTE(LEFT((" "&amp;LEFT(SUBSTITUTE(A100,CHAR(13),""),FIND(CHAR(10),SUBSTITUTE(A100,CHAR(13),"")&amp;CHAR(10))-1)),FIND(".",(" "&amp;LEFT(SUBSTITUTE(A100,CHAR(13),""),FIND(CHAR(10),SUBSTITUTE(A100,CHAR(13),"")&amp;CHAR(10))-1))))," ","~",LEN(LEFT((" "&amp;LEFT(SUBSTITUTE(A100,CHAR(13),""),FIND(CHAR(10),SUBSTITUTE(A100,CHAR(13),"")&amp;CHAR(10))-1)),FIND(".",(" "&amp;LEFT(SUBSTITUTE(A100,CHAR(13),""),FIND(CHAR(10),SUBSTITUTE(A100,CHAR(13),"")&amp;CHAR(10))-1)))))-LEN(SUBSTITUTE(LEFT((" "&amp;LEFT(SUBSTITUTE(A100,CHAR(13),""),FIND(CHAR(10),SUBSTITUTE(A100,CHAR(13),"")&amp;CHAR(10))-1)),FIND(".",(" "&amp;LEFT(SUBSTITUTE(A100,CHAR(13),""),FIND(CHAR(10),SUBSTITUTE(A100,CHAR(13),"")&amp;CHAR(10))-1))))," ",""))))+1),FIND(" ",(" "&amp;LEFT(SUBSTITUTE(A100,CHAR(13),""),FIND(CHAR(10),SUBSTITUTE(A100,CHAR(13),"")&amp;CHAR(10))-1))&amp;" ",FIND(".",(" "&amp;LEFT(SUBSTITUTE(A100,CHAR(13),""),FIND(CHAR(10),SUBSTITUTE(A100,CHAR(13),"")&amp;CHAR(10))-1))))-(FIND("~",SUBSTITUTE(LEFT((" "&amp;LEFT(SUBSTITUTE(A100,CHAR(13),""),FIND(CHAR(10),SUBSTITUTE(A100,CHAR(13),"")&amp;CHAR(10))-1)),FIND(".",(" "&amp;LEFT(SUBSTITUTE(A100,CHAR(13),""),FIND(CHAR(10),SUBSTITUTE(A100,CHAR(13),"")&amp;CHAR(10))-1))))," ","~",LEN(LEFT((" "&amp;LEFT(SUBSTITUTE(A100,CHAR(13),""),FIND(CHAR(10),SUBSTITUTE(A100,CHAR(13),"")&amp;CHAR(10))-1)),FIND(".",(" "&amp;LEFT(SUBSTITUTE(A100,CHAR(13),""),FIND(CHAR(10),SUBSTITUTE(A100,CHAR(13),"")&amp;CHAR(10))-1)))))-LEN(SUBSTITUTE(LEFT((" "&amp;LEFT(SUBSTITUTE(A100,CHAR(13),""),FIND(CHAR(10),SUBSTITUTE(A100,CHAR(13),"")&amp;CHAR(10))-1)),FIND(".",(" "&amp;LEFT(SUBSTITUTE(A100,CHAR(13),""),FIND(CHAR(10),SUBSTITUTE(A100,CHAR(13),"")&amp;CHAR(10))-1))))," ",""))))+1)),""))</f>
        <v/>
      </c>
    </row>
    <row r="101" customFormat="false" ht="30" hidden="false" customHeight="true" outlineLevel="0" collapsed="false">
      <c r="A101" s="11" t="str">
        <f aca="false">IFERROR(INDEX(Pegar!$A$3:$A$1002,MATCH(97,Pegar!$B$3:$B$1002,0))&amp;IF(LEFT(INDEX(Pegar!$A$3:$A$1003,MATCH(97,Pegar!$B$3:$B$1002,0)+1),5)="DESC=",CHAR(10)&amp;INDEX(Pegar!$A$3:$A$1003,MATCH(97,Pegar!$B$3:$B$1002,0)+1),""),"")</f>
        <v/>
      </c>
      <c r="B101" s="12" t="str">
        <f aca="false">IF(TRIM(A101)="","",IFERROR(MID(SUBSTITUTE(SUBSTITUTE(A101,CHAR(10)," "),CHAR(13)," "),FIND(" MT"," "&amp;SUBSTITUTE(SUBSTITUTE(A101,CHAR(10)," "),CHAR(13)," ")),FIND(" ",SUBSTITUTE(SUBSTITUTE(A101,CHAR(10)," "),CHAR(13)," ")&amp;" ",FIND(" MT"," "&amp;SUBSTITUTE(SUBSTITUTE(A101,CHAR(10)," "),CHAR(13)," ")))-FIND(" MT"," "&amp;SUBSTITUTE(SUBSTITUTE(A101,CHAR(10)," "),CHAR(13)," "))),"MT no encontrado"))</f>
        <v/>
      </c>
      <c r="C101" s="15" t="str">
        <f aca="false">IF(TRIM(A101)="","",IF(D101="",FALSE(),SUBSTITUTE(SUBSTITUTE(SUBSTITUTE(D101,".",""),"0",""),"-","")&lt;&gt;""))</f>
        <v/>
      </c>
      <c r="D101" s="14" t="str">
        <f aca="false">IF(TRIM(A101)="","",IFERROR(MID((" "&amp;LEFT(SUBSTITUTE(A101,CHAR(13),""),FIND(CHAR(10),SUBSTITUTE(A101,CHAR(13),"")&amp;CHAR(10))-1)),(FIND("~",SUBSTITUTE(LEFT((" "&amp;LEFT(SUBSTITUTE(A101,CHAR(13),""),FIND(CHAR(10),SUBSTITUTE(A101,CHAR(13),"")&amp;CHAR(10))-1)),FIND(".",(" "&amp;LEFT(SUBSTITUTE(A101,CHAR(13),""),FIND(CHAR(10),SUBSTITUTE(A101,CHAR(13),"")&amp;CHAR(10))-1))))," ","~",LEN(LEFT((" "&amp;LEFT(SUBSTITUTE(A101,CHAR(13),""),FIND(CHAR(10),SUBSTITUTE(A101,CHAR(13),"")&amp;CHAR(10))-1)),FIND(".",(" "&amp;LEFT(SUBSTITUTE(A101,CHAR(13),""),FIND(CHAR(10),SUBSTITUTE(A101,CHAR(13),"")&amp;CHAR(10))-1)))))-LEN(SUBSTITUTE(LEFT((" "&amp;LEFT(SUBSTITUTE(A101,CHAR(13),""),FIND(CHAR(10),SUBSTITUTE(A101,CHAR(13),"")&amp;CHAR(10))-1)),FIND(".",(" "&amp;LEFT(SUBSTITUTE(A101,CHAR(13),""),FIND(CHAR(10),SUBSTITUTE(A101,CHAR(13),"")&amp;CHAR(10))-1))))," ",""))))+1),FIND(" ",(" "&amp;LEFT(SUBSTITUTE(A101,CHAR(13),""),FIND(CHAR(10),SUBSTITUTE(A101,CHAR(13),"")&amp;CHAR(10))-1))&amp;" ",FIND(".",(" "&amp;LEFT(SUBSTITUTE(A101,CHAR(13),""),FIND(CHAR(10),SUBSTITUTE(A101,CHAR(13),"")&amp;CHAR(10))-1))))-(FIND("~",SUBSTITUTE(LEFT((" "&amp;LEFT(SUBSTITUTE(A101,CHAR(13),""),FIND(CHAR(10),SUBSTITUTE(A101,CHAR(13),"")&amp;CHAR(10))-1)),FIND(".",(" "&amp;LEFT(SUBSTITUTE(A101,CHAR(13),""),FIND(CHAR(10),SUBSTITUTE(A101,CHAR(13),"")&amp;CHAR(10))-1))))," ","~",LEN(LEFT((" "&amp;LEFT(SUBSTITUTE(A101,CHAR(13),""),FIND(CHAR(10),SUBSTITUTE(A101,CHAR(13),"")&amp;CHAR(10))-1)),FIND(".",(" "&amp;LEFT(SUBSTITUTE(A101,CHAR(13),""),FIND(CHAR(10),SUBSTITUTE(A101,CHAR(13),"")&amp;CHAR(10))-1)))))-LEN(SUBSTITUTE(LEFT((" "&amp;LEFT(SUBSTITUTE(A101,CHAR(13),""),FIND(CHAR(10),SUBSTITUTE(A101,CHAR(13),"")&amp;CHAR(10))-1)),FIND(".",(" "&amp;LEFT(SUBSTITUTE(A101,CHAR(13),""),FIND(CHAR(10),SUBSTITUTE(A101,CHAR(13),"")&amp;CHAR(10))-1))))," ",""))))+1)),""))</f>
        <v/>
      </c>
    </row>
    <row r="102" customFormat="false" ht="30" hidden="false" customHeight="true" outlineLevel="0" collapsed="false">
      <c r="A102" s="11" t="str">
        <f aca="false">IFERROR(INDEX(Pegar!$A$3:$A$1002,MATCH(98,Pegar!$B$3:$B$1002,0))&amp;IF(LEFT(INDEX(Pegar!$A$3:$A$1003,MATCH(98,Pegar!$B$3:$B$1002,0)+1),5)="DESC=",CHAR(10)&amp;INDEX(Pegar!$A$3:$A$1003,MATCH(98,Pegar!$B$3:$B$1002,0)+1),""),"")</f>
        <v/>
      </c>
      <c r="B102" s="12" t="str">
        <f aca="false">IF(TRIM(A102)="","",IFERROR(MID(SUBSTITUTE(SUBSTITUTE(A102,CHAR(10)," "),CHAR(13)," "),FIND(" MT"," "&amp;SUBSTITUTE(SUBSTITUTE(A102,CHAR(10)," "),CHAR(13)," ")),FIND(" ",SUBSTITUTE(SUBSTITUTE(A102,CHAR(10)," "),CHAR(13)," ")&amp;" ",FIND(" MT"," "&amp;SUBSTITUTE(SUBSTITUTE(A102,CHAR(10)," "),CHAR(13)," ")))-FIND(" MT"," "&amp;SUBSTITUTE(SUBSTITUTE(A102,CHAR(10)," "),CHAR(13)," "))),"MT no encontrado"))</f>
        <v/>
      </c>
      <c r="C102" s="15" t="str">
        <f aca="false">IF(TRIM(A102)="","",IF(D102="",FALSE(),SUBSTITUTE(SUBSTITUTE(SUBSTITUTE(D102,".",""),"0",""),"-","")&lt;&gt;""))</f>
        <v/>
      </c>
      <c r="D102" s="14" t="str">
        <f aca="false">IF(TRIM(A102)="","",IFERROR(MID((" "&amp;LEFT(SUBSTITUTE(A102,CHAR(13),""),FIND(CHAR(10),SUBSTITUTE(A102,CHAR(13),"")&amp;CHAR(10))-1)),(FIND("~",SUBSTITUTE(LEFT((" "&amp;LEFT(SUBSTITUTE(A102,CHAR(13),""),FIND(CHAR(10),SUBSTITUTE(A102,CHAR(13),"")&amp;CHAR(10))-1)),FIND(".",(" "&amp;LEFT(SUBSTITUTE(A102,CHAR(13),""),FIND(CHAR(10),SUBSTITUTE(A102,CHAR(13),"")&amp;CHAR(10))-1))))," ","~",LEN(LEFT((" "&amp;LEFT(SUBSTITUTE(A102,CHAR(13),""),FIND(CHAR(10),SUBSTITUTE(A102,CHAR(13),"")&amp;CHAR(10))-1)),FIND(".",(" "&amp;LEFT(SUBSTITUTE(A102,CHAR(13),""),FIND(CHAR(10),SUBSTITUTE(A102,CHAR(13),"")&amp;CHAR(10))-1)))))-LEN(SUBSTITUTE(LEFT((" "&amp;LEFT(SUBSTITUTE(A102,CHAR(13),""),FIND(CHAR(10),SUBSTITUTE(A102,CHAR(13),"")&amp;CHAR(10))-1)),FIND(".",(" "&amp;LEFT(SUBSTITUTE(A102,CHAR(13),""),FIND(CHAR(10),SUBSTITUTE(A102,CHAR(13),"")&amp;CHAR(10))-1))))," ",""))))+1),FIND(" ",(" "&amp;LEFT(SUBSTITUTE(A102,CHAR(13),""),FIND(CHAR(10),SUBSTITUTE(A102,CHAR(13),"")&amp;CHAR(10))-1))&amp;" ",FIND(".",(" "&amp;LEFT(SUBSTITUTE(A102,CHAR(13),""),FIND(CHAR(10),SUBSTITUTE(A102,CHAR(13),"")&amp;CHAR(10))-1))))-(FIND("~",SUBSTITUTE(LEFT((" "&amp;LEFT(SUBSTITUTE(A102,CHAR(13),""),FIND(CHAR(10),SUBSTITUTE(A102,CHAR(13),"")&amp;CHAR(10))-1)),FIND(".",(" "&amp;LEFT(SUBSTITUTE(A102,CHAR(13),""),FIND(CHAR(10),SUBSTITUTE(A102,CHAR(13),"")&amp;CHAR(10))-1))))," ","~",LEN(LEFT((" "&amp;LEFT(SUBSTITUTE(A102,CHAR(13),""),FIND(CHAR(10),SUBSTITUTE(A102,CHAR(13),"")&amp;CHAR(10))-1)),FIND(".",(" "&amp;LEFT(SUBSTITUTE(A102,CHAR(13),""),FIND(CHAR(10),SUBSTITUTE(A102,CHAR(13),"")&amp;CHAR(10))-1)))))-LEN(SUBSTITUTE(LEFT((" "&amp;LEFT(SUBSTITUTE(A102,CHAR(13),""),FIND(CHAR(10),SUBSTITUTE(A102,CHAR(13),"")&amp;CHAR(10))-1)),FIND(".",(" "&amp;LEFT(SUBSTITUTE(A102,CHAR(13),""),FIND(CHAR(10),SUBSTITUTE(A102,CHAR(13),"")&amp;CHAR(10))-1))))," ",""))))+1)),""))</f>
        <v/>
      </c>
    </row>
    <row r="103" customFormat="false" ht="30" hidden="false" customHeight="true" outlineLevel="0" collapsed="false">
      <c r="A103" s="11" t="str">
        <f aca="false">IFERROR(INDEX(Pegar!$A$3:$A$1002,MATCH(99,Pegar!$B$3:$B$1002,0))&amp;IF(LEFT(INDEX(Pegar!$A$3:$A$1003,MATCH(99,Pegar!$B$3:$B$1002,0)+1),5)="DESC=",CHAR(10)&amp;INDEX(Pegar!$A$3:$A$1003,MATCH(99,Pegar!$B$3:$B$1002,0)+1),""),"")</f>
        <v/>
      </c>
      <c r="B103" s="12" t="str">
        <f aca="false">IF(TRIM(A103)="","",IFERROR(MID(SUBSTITUTE(SUBSTITUTE(A103,CHAR(10)," "),CHAR(13)," "),FIND(" MT"," "&amp;SUBSTITUTE(SUBSTITUTE(A103,CHAR(10)," "),CHAR(13)," ")),FIND(" ",SUBSTITUTE(SUBSTITUTE(A103,CHAR(10)," "),CHAR(13)," ")&amp;" ",FIND(" MT"," "&amp;SUBSTITUTE(SUBSTITUTE(A103,CHAR(10)," "),CHAR(13)," ")))-FIND(" MT"," "&amp;SUBSTITUTE(SUBSTITUTE(A103,CHAR(10)," "),CHAR(13)," "))),"MT no encontrado"))</f>
        <v/>
      </c>
      <c r="C103" s="15" t="str">
        <f aca="false">IF(TRIM(A103)="","",IF(D103="",FALSE(),SUBSTITUTE(SUBSTITUTE(SUBSTITUTE(D103,".",""),"0",""),"-","")&lt;&gt;""))</f>
        <v/>
      </c>
      <c r="D103" s="14" t="str">
        <f aca="false">IF(TRIM(A103)="","",IFERROR(MID((" "&amp;LEFT(SUBSTITUTE(A103,CHAR(13),""),FIND(CHAR(10),SUBSTITUTE(A103,CHAR(13),"")&amp;CHAR(10))-1)),(FIND("~",SUBSTITUTE(LEFT((" "&amp;LEFT(SUBSTITUTE(A103,CHAR(13),""),FIND(CHAR(10),SUBSTITUTE(A103,CHAR(13),"")&amp;CHAR(10))-1)),FIND(".",(" "&amp;LEFT(SUBSTITUTE(A103,CHAR(13),""),FIND(CHAR(10),SUBSTITUTE(A103,CHAR(13),"")&amp;CHAR(10))-1))))," ","~",LEN(LEFT((" "&amp;LEFT(SUBSTITUTE(A103,CHAR(13),""),FIND(CHAR(10),SUBSTITUTE(A103,CHAR(13),"")&amp;CHAR(10))-1)),FIND(".",(" "&amp;LEFT(SUBSTITUTE(A103,CHAR(13),""),FIND(CHAR(10),SUBSTITUTE(A103,CHAR(13),"")&amp;CHAR(10))-1)))))-LEN(SUBSTITUTE(LEFT((" "&amp;LEFT(SUBSTITUTE(A103,CHAR(13),""),FIND(CHAR(10),SUBSTITUTE(A103,CHAR(13),"")&amp;CHAR(10))-1)),FIND(".",(" "&amp;LEFT(SUBSTITUTE(A103,CHAR(13),""),FIND(CHAR(10),SUBSTITUTE(A103,CHAR(13),"")&amp;CHAR(10))-1))))," ",""))))+1),FIND(" ",(" "&amp;LEFT(SUBSTITUTE(A103,CHAR(13),""),FIND(CHAR(10),SUBSTITUTE(A103,CHAR(13),"")&amp;CHAR(10))-1))&amp;" ",FIND(".",(" "&amp;LEFT(SUBSTITUTE(A103,CHAR(13),""),FIND(CHAR(10),SUBSTITUTE(A103,CHAR(13),"")&amp;CHAR(10))-1))))-(FIND("~",SUBSTITUTE(LEFT((" "&amp;LEFT(SUBSTITUTE(A103,CHAR(13),""),FIND(CHAR(10),SUBSTITUTE(A103,CHAR(13),"")&amp;CHAR(10))-1)),FIND(".",(" "&amp;LEFT(SUBSTITUTE(A103,CHAR(13),""),FIND(CHAR(10),SUBSTITUTE(A103,CHAR(13),"")&amp;CHAR(10))-1))))," ","~",LEN(LEFT((" "&amp;LEFT(SUBSTITUTE(A103,CHAR(13),""),FIND(CHAR(10),SUBSTITUTE(A103,CHAR(13),"")&amp;CHAR(10))-1)),FIND(".",(" "&amp;LEFT(SUBSTITUTE(A103,CHAR(13),""),FIND(CHAR(10),SUBSTITUTE(A103,CHAR(13),"")&amp;CHAR(10))-1)))))-LEN(SUBSTITUTE(LEFT((" "&amp;LEFT(SUBSTITUTE(A103,CHAR(13),""),FIND(CHAR(10),SUBSTITUTE(A103,CHAR(13),"")&amp;CHAR(10))-1)),FIND(".",(" "&amp;LEFT(SUBSTITUTE(A103,CHAR(13),""),FIND(CHAR(10),SUBSTITUTE(A103,CHAR(13),"")&amp;CHAR(10))-1))))," ",""))))+1)),""))</f>
        <v/>
      </c>
    </row>
    <row r="104" customFormat="false" ht="30" hidden="false" customHeight="true" outlineLevel="0" collapsed="false">
      <c r="A104" s="11" t="str">
        <f aca="false">IFERROR(INDEX(Pegar!$A$3:$A$1002,MATCH(100,Pegar!$B$3:$B$1002,0))&amp;IF(LEFT(INDEX(Pegar!$A$3:$A$1003,MATCH(100,Pegar!$B$3:$B$1002,0)+1),5)="DESC=",CHAR(10)&amp;INDEX(Pegar!$A$3:$A$1003,MATCH(100,Pegar!$B$3:$B$1002,0)+1),""),"")</f>
        <v/>
      </c>
      <c r="B104" s="12" t="str">
        <f aca="false">IF(TRIM(A104)="","",IFERROR(MID(SUBSTITUTE(SUBSTITUTE(A104,CHAR(10)," "),CHAR(13)," "),FIND(" MT"," "&amp;SUBSTITUTE(SUBSTITUTE(A104,CHAR(10)," "),CHAR(13)," ")),FIND(" ",SUBSTITUTE(SUBSTITUTE(A104,CHAR(10)," "),CHAR(13)," ")&amp;" ",FIND(" MT"," "&amp;SUBSTITUTE(SUBSTITUTE(A104,CHAR(10)," "),CHAR(13)," ")))-FIND(" MT"," "&amp;SUBSTITUTE(SUBSTITUTE(A104,CHAR(10)," "),CHAR(13)," "))),"MT no encontrado"))</f>
        <v/>
      </c>
      <c r="C104" s="15" t="str">
        <f aca="false">IF(TRIM(A104)="","",IF(D104="",FALSE(),SUBSTITUTE(SUBSTITUTE(SUBSTITUTE(D104,".",""),"0",""),"-","")&lt;&gt;""))</f>
        <v/>
      </c>
      <c r="D104" s="14" t="str">
        <f aca="false">IF(TRIM(A104)="","",IFERROR(MID((" "&amp;LEFT(SUBSTITUTE(A104,CHAR(13),""),FIND(CHAR(10),SUBSTITUTE(A104,CHAR(13),"")&amp;CHAR(10))-1)),(FIND("~",SUBSTITUTE(LEFT((" "&amp;LEFT(SUBSTITUTE(A104,CHAR(13),""),FIND(CHAR(10),SUBSTITUTE(A104,CHAR(13),"")&amp;CHAR(10))-1)),FIND(".",(" "&amp;LEFT(SUBSTITUTE(A104,CHAR(13),""),FIND(CHAR(10),SUBSTITUTE(A104,CHAR(13),"")&amp;CHAR(10))-1))))," ","~",LEN(LEFT((" "&amp;LEFT(SUBSTITUTE(A104,CHAR(13),""),FIND(CHAR(10),SUBSTITUTE(A104,CHAR(13),"")&amp;CHAR(10))-1)),FIND(".",(" "&amp;LEFT(SUBSTITUTE(A104,CHAR(13),""),FIND(CHAR(10),SUBSTITUTE(A104,CHAR(13),"")&amp;CHAR(10))-1)))))-LEN(SUBSTITUTE(LEFT((" "&amp;LEFT(SUBSTITUTE(A104,CHAR(13),""),FIND(CHAR(10),SUBSTITUTE(A104,CHAR(13),"")&amp;CHAR(10))-1)),FIND(".",(" "&amp;LEFT(SUBSTITUTE(A104,CHAR(13),""),FIND(CHAR(10),SUBSTITUTE(A104,CHAR(13),"")&amp;CHAR(10))-1))))," ",""))))+1),FIND(" ",(" "&amp;LEFT(SUBSTITUTE(A104,CHAR(13),""),FIND(CHAR(10),SUBSTITUTE(A104,CHAR(13),"")&amp;CHAR(10))-1))&amp;" ",FIND(".",(" "&amp;LEFT(SUBSTITUTE(A104,CHAR(13),""),FIND(CHAR(10),SUBSTITUTE(A104,CHAR(13),"")&amp;CHAR(10))-1))))-(FIND("~",SUBSTITUTE(LEFT((" "&amp;LEFT(SUBSTITUTE(A104,CHAR(13),""),FIND(CHAR(10),SUBSTITUTE(A104,CHAR(13),"")&amp;CHAR(10))-1)),FIND(".",(" "&amp;LEFT(SUBSTITUTE(A104,CHAR(13),""),FIND(CHAR(10),SUBSTITUTE(A104,CHAR(13),"")&amp;CHAR(10))-1))))," ","~",LEN(LEFT((" "&amp;LEFT(SUBSTITUTE(A104,CHAR(13),""),FIND(CHAR(10),SUBSTITUTE(A104,CHAR(13),"")&amp;CHAR(10))-1)),FIND(".",(" "&amp;LEFT(SUBSTITUTE(A104,CHAR(13),""),FIND(CHAR(10),SUBSTITUTE(A104,CHAR(13),"")&amp;CHAR(10))-1)))))-LEN(SUBSTITUTE(LEFT((" "&amp;LEFT(SUBSTITUTE(A104,CHAR(13),""),FIND(CHAR(10),SUBSTITUTE(A104,CHAR(13),"")&amp;CHAR(10))-1)),FIND(".",(" "&amp;LEFT(SUBSTITUTE(A104,CHAR(13),""),FIND(CHAR(10),SUBSTITUTE(A104,CHAR(13),"")&amp;CHAR(10))-1))))," ",""))))+1)),""))</f>
        <v/>
      </c>
    </row>
    <row r="105" customFormat="false" ht="30" hidden="false" customHeight="true" outlineLevel="0" collapsed="false">
      <c r="A105" s="11" t="str">
        <f aca="false">IFERROR(INDEX(Pegar!$A$3:$A$1002,MATCH(101,Pegar!$B$3:$B$1002,0))&amp;IF(LEFT(INDEX(Pegar!$A$3:$A$1003,MATCH(101,Pegar!$B$3:$B$1002,0)+1),5)="DESC=",CHAR(10)&amp;INDEX(Pegar!$A$3:$A$1003,MATCH(101,Pegar!$B$3:$B$1002,0)+1),""),"")</f>
        <v/>
      </c>
      <c r="B105" s="12" t="str">
        <f aca="false">IF(TRIM(A105)="","",IFERROR(MID(SUBSTITUTE(SUBSTITUTE(A105,CHAR(10)," "),CHAR(13)," "),FIND(" MT"," "&amp;SUBSTITUTE(SUBSTITUTE(A105,CHAR(10)," "),CHAR(13)," ")),FIND(" ",SUBSTITUTE(SUBSTITUTE(A105,CHAR(10)," "),CHAR(13)," ")&amp;" ",FIND(" MT"," "&amp;SUBSTITUTE(SUBSTITUTE(A105,CHAR(10)," "),CHAR(13)," ")))-FIND(" MT"," "&amp;SUBSTITUTE(SUBSTITUTE(A105,CHAR(10)," "),CHAR(13)," "))),"MT no encontrado"))</f>
        <v/>
      </c>
      <c r="C105" s="15" t="str">
        <f aca="false">IF(TRIM(A105)="","",IF(D105="",FALSE(),SUBSTITUTE(SUBSTITUTE(SUBSTITUTE(D105,".",""),"0",""),"-","")&lt;&gt;""))</f>
        <v/>
      </c>
      <c r="D105" s="14" t="str">
        <f aca="false">IF(TRIM(A105)="","",IFERROR(MID((" "&amp;LEFT(SUBSTITUTE(A105,CHAR(13),""),FIND(CHAR(10),SUBSTITUTE(A105,CHAR(13),"")&amp;CHAR(10))-1)),(FIND("~",SUBSTITUTE(LEFT((" "&amp;LEFT(SUBSTITUTE(A105,CHAR(13),""),FIND(CHAR(10),SUBSTITUTE(A105,CHAR(13),"")&amp;CHAR(10))-1)),FIND(".",(" "&amp;LEFT(SUBSTITUTE(A105,CHAR(13),""),FIND(CHAR(10),SUBSTITUTE(A105,CHAR(13),"")&amp;CHAR(10))-1))))," ","~",LEN(LEFT((" "&amp;LEFT(SUBSTITUTE(A105,CHAR(13),""),FIND(CHAR(10),SUBSTITUTE(A105,CHAR(13),"")&amp;CHAR(10))-1)),FIND(".",(" "&amp;LEFT(SUBSTITUTE(A105,CHAR(13),""),FIND(CHAR(10),SUBSTITUTE(A105,CHAR(13),"")&amp;CHAR(10))-1)))))-LEN(SUBSTITUTE(LEFT((" "&amp;LEFT(SUBSTITUTE(A105,CHAR(13),""),FIND(CHAR(10),SUBSTITUTE(A105,CHAR(13),"")&amp;CHAR(10))-1)),FIND(".",(" "&amp;LEFT(SUBSTITUTE(A105,CHAR(13),""),FIND(CHAR(10),SUBSTITUTE(A105,CHAR(13),"")&amp;CHAR(10))-1))))," ",""))))+1),FIND(" ",(" "&amp;LEFT(SUBSTITUTE(A105,CHAR(13),""),FIND(CHAR(10),SUBSTITUTE(A105,CHAR(13),"")&amp;CHAR(10))-1))&amp;" ",FIND(".",(" "&amp;LEFT(SUBSTITUTE(A105,CHAR(13),""),FIND(CHAR(10),SUBSTITUTE(A105,CHAR(13),"")&amp;CHAR(10))-1))))-(FIND("~",SUBSTITUTE(LEFT((" "&amp;LEFT(SUBSTITUTE(A105,CHAR(13),""),FIND(CHAR(10),SUBSTITUTE(A105,CHAR(13),"")&amp;CHAR(10))-1)),FIND(".",(" "&amp;LEFT(SUBSTITUTE(A105,CHAR(13),""),FIND(CHAR(10),SUBSTITUTE(A105,CHAR(13),"")&amp;CHAR(10))-1))))," ","~",LEN(LEFT((" "&amp;LEFT(SUBSTITUTE(A105,CHAR(13),""),FIND(CHAR(10),SUBSTITUTE(A105,CHAR(13),"")&amp;CHAR(10))-1)),FIND(".",(" "&amp;LEFT(SUBSTITUTE(A105,CHAR(13),""),FIND(CHAR(10),SUBSTITUTE(A105,CHAR(13),"")&amp;CHAR(10))-1)))))-LEN(SUBSTITUTE(LEFT((" "&amp;LEFT(SUBSTITUTE(A105,CHAR(13),""),FIND(CHAR(10),SUBSTITUTE(A105,CHAR(13),"")&amp;CHAR(10))-1)),FIND(".",(" "&amp;LEFT(SUBSTITUTE(A105,CHAR(13),""),FIND(CHAR(10),SUBSTITUTE(A105,CHAR(13),"")&amp;CHAR(10))-1))))," ",""))))+1)),""))</f>
        <v/>
      </c>
    </row>
    <row r="106" customFormat="false" ht="30" hidden="false" customHeight="true" outlineLevel="0" collapsed="false">
      <c r="A106" s="11" t="str">
        <f aca="false">IFERROR(INDEX(Pegar!$A$3:$A$1002,MATCH(102,Pegar!$B$3:$B$1002,0))&amp;IF(LEFT(INDEX(Pegar!$A$3:$A$1003,MATCH(102,Pegar!$B$3:$B$1002,0)+1),5)="DESC=",CHAR(10)&amp;INDEX(Pegar!$A$3:$A$1003,MATCH(102,Pegar!$B$3:$B$1002,0)+1),""),"")</f>
        <v/>
      </c>
      <c r="B106" s="12" t="str">
        <f aca="false">IF(TRIM(A106)="","",IFERROR(MID(SUBSTITUTE(SUBSTITUTE(A106,CHAR(10)," "),CHAR(13)," "),FIND(" MT"," "&amp;SUBSTITUTE(SUBSTITUTE(A106,CHAR(10)," "),CHAR(13)," ")),FIND(" ",SUBSTITUTE(SUBSTITUTE(A106,CHAR(10)," "),CHAR(13)," ")&amp;" ",FIND(" MT"," "&amp;SUBSTITUTE(SUBSTITUTE(A106,CHAR(10)," "),CHAR(13)," ")))-FIND(" MT"," "&amp;SUBSTITUTE(SUBSTITUTE(A106,CHAR(10)," "),CHAR(13)," "))),"MT no encontrado"))</f>
        <v/>
      </c>
      <c r="C106" s="15" t="str">
        <f aca="false">IF(TRIM(A106)="","",IF(D106="",FALSE(),SUBSTITUTE(SUBSTITUTE(SUBSTITUTE(D106,".",""),"0",""),"-","")&lt;&gt;""))</f>
        <v/>
      </c>
      <c r="D106" s="14" t="str">
        <f aca="false">IF(TRIM(A106)="","",IFERROR(MID((" "&amp;LEFT(SUBSTITUTE(A106,CHAR(13),""),FIND(CHAR(10),SUBSTITUTE(A106,CHAR(13),"")&amp;CHAR(10))-1)),(FIND("~",SUBSTITUTE(LEFT((" "&amp;LEFT(SUBSTITUTE(A106,CHAR(13),""),FIND(CHAR(10),SUBSTITUTE(A106,CHAR(13),"")&amp;CHAR(10))-1)),FIND(".",(" "&amp;LEFT(SUBSTITUTE(A106,CHAR(13),""),FIND(CHAR(10),SUBSTITUTE(A106,CHAR(13),"")&amp;CHAR(10))-1))))," ","~",LEN(LEFT((" "&amp;LEFT(SUBSTITUTE(A106,CHAR(13),""),FIND(CHAR(10),SUBSTITUTE(A106,CHAR(13),"")&amp;CHAR(10))-1)),FIND(".",(" "&amp;LEFT(SUBSTITUTE(A106,CHAR(13),""),FIND(CHAR(10),SUBSTITUTE(A106,CHAR(13),"")&amp;CHAR(10))-1)))))-LEN(SUBSTITUTE(LEFT((" "&amp;LEFT(SUBSTITUTE(A106,CHAR(13),""),FIND(CHAR(10),SUBSTITUTE(A106,CHAR(13),"")&amp;CHAR(10))-1)),FIND(".",(" "&amp;LEFT(SUBSTITUTE(A106,CHAR(13),""),FIND(CHAR(10),SUBSTITUTE(A106,CHAR(13),"")&amp;CHAR(10))-1))))," ",""))))+1),FIND(" ",(" "&amp;LEFT(SUBSTITUTE(A106,CHAR(13),""),FIND(CHAR(10),SUBSTITUTE(A106,CHAR(13),"")&amp;CHAR(10))-1))&amp;" ",FIND(".",(" "&amp;LEFT(SUBSTITUTE(A106,CHAR(13),""),FIND(CHAR(10),SUBSTITUTE(A106,CHAR(13),"")&amp;CHAR(10))-1))))-(FIND("~",SUBSTITUTE(LEFT((" "&amp;LEFT(SUBSTITUTE(A106,CHAR(13),""),FIND(CHAR(10),SUBSTITUTE(A106,CHAR(13),"")&amp;CHAR(10))-1)),FIND(".",(" "&amp;LEFT(SUBSTITUTE(A106,CHAR(13),""),FIND(CHAR(10),SUBSTITUTE(A106,CHAR(13),"")&amp;CHAR(10))-1))))," ","~",LEN(LEFT((" "&amp;LEFT(SUBSTITUTE(A106,CHAR(13),""),FIND(CHAR(10),SUBSTITUTE(A106,CHAR(13),"")&amp;CHAR(10))-1)),FIND(".",(" "&amp;LEFT(SUBSTITUTE(A106,CHAR(13),""),FIND(CHAR(10),SUBSTITUTE(A106,CHAR(13),"")&amp;CHAR(10))-1)))))-LEN(SUBSTITUTE(LEFT((" "&amp;LEFT(SUBSTITUTE(A106,CHAR(13),""),FIND(CHAR(10),SUBSTITUTE(A106,CHAR(13),"")&amp;CHAR(10))-1)),FIND(".",(" "&amp;LEFT(SUBSTITUTE(A106,CHAR(13),""),FIND(CHAR(10),SUBSTITUTE(A106,CHAR(13),"")&amp;CHAR(10))-1))))," ",""))))+1)),""))</f>
        <v/>
      </c>
    </row>
    <row r="107" customFormat="false" ht="30" hidden="false" customHeight="true" outlineLevel="0" collapsed="false">
      <c r="A107" s="11" t="str">
        <f aca="false">IFERROR(INDEX(Pegar!$A$3:$A$1002,MATCH(103,Pegar!$B$3:$B$1002,0))&amp;IF(LEFT(INDEX(Pegar!$A$3:$A$1003,MATCH(103,Pegar!$B$3:$B$1002,0)+1),5)="DESC=",CHAR(10)&amp;INDEX(Pegar!$A$3:$A$1003,MATCH(103,Pegar!$B$3:$B$1002,0)+1),""),"")</f>
        <v/>
      </c>
      <c r="B107" s="12" t="str">
        <f aca="false">IF(TRIM(A107)="","",IFERROR(MID(SUBSTITUTE(SUBSTITUTE(A107,CHAR(10)," "),CHAR(13)," "),FIND(" MT"," "&amp;SUBSTITUTE(SUBSTITUTE(A107,CHAR(10)," "),CHAR(13)," ")),FIND(" ",SUBSTITUTE(SUBSTITUTE(A107,CHAR(10)," "),CHAR(13)," ")&amp;" ",FIND(" MT"," "&amp;SUBSTITUTE(SUBSTITUTE(A107,CHAR(10)," "),CHAR(13)," ")))-FIND(" MT"," "&amp;SUBSTITUTE(SUBSTITUTE(A107,CHAR(10)," "),CHAR(13)," "))),"MT no encontrado"))</f>
        <v/>
      </c>
      <c r="C107" s="15" t="str">
        <f aca="false">IF(TRIM(A107)="","",IF(D107="",FALSE(),SUBSTITUTE(SUBSTITUTE(SUBSTITUTE(D107,".",""),"0",""),"-","")&lt;&gt;""))</f>
        <v/>
      </c>
      <c r="D107" s="14" t="str">
        <f aca="false">IF(TRIM(A107)="","",IFERROR(MID((" "&amp;LEFT(SUBSTITUTE(A107,CHAR(13),""),FIND(CHAR(10),SUBSTITUTE(A107,CHAR(13),"")&amp;CHAR(10))-1)),(FIND("~",SUBSTITUTE(LEFT((" "&amp;LEFT(SUBSTITUTE(A107,CHAR(13),""),FIND(CHAR(10),SUBSTITUTE(A107,CHAR(13),"")&amp;CHAR(10))-1)),FIND(".",(" "&amp;LEFT(SUBSTITUTE(A107,CHAR(13),""),FIND(CHAR(10),SUBSTITUTE(A107,CHAR(13),"")&amp;CHAR(10))-1))))," ","~",LEN(LEFT((" "&amp;LEFT(SUBSTITUTE(A107,CHAR(13),""),FIND(CHAR(10),SUBSTITUTE(A107,CHAR(13),"")&amp;CHAR(10))-1)),FIND(".",(" "&amp;LEFT(SUBSTITUTE(A107,CHAR(13),""),FIND(CHAR(10),SUBSTITUTE(A107,CHAR(13),"")&amp;CHAR(10))-1)))))-LEN(SUBSTITUTE(LEFT((" "&amp;LEFT(SUBSTITUTE(A107,CHAR(13),""),FIND(CHAR(10),SUBSTITUTE(A107,CHAR(13),"")&amp;CHAR(10))-1)),FIND(".",(" "&amp;LEFT(SUBSTITUTE(A107,CHAR(13),""),FIND(CHAR(10),SUBSTITUTE(A107,CHAR(13),"")&amp;CHAR(10))-1))))," ",""))))+1),FIND(" ",(" "&amp;LEFT(SUBSTITUTE(A107,CHAR(13),""),FIND(CHAR(10),SUBSTITUTE(A107,CHAR(13),"")&amp;CHAR(10))-1))&amp;" ",FIND(".",(" "&amp;LEFT(SUBSTITUTE(A107,CHAR(13),""),FIND(CHAR(10),SUBSTITUTE(A107,CHAR(13),"")&amp;CHAR(10))-1))))-(FIND("~",SUBSTITUTE(LEFT((" "&amp;LEFT(SUBSTITUTE(A107,CHAR(13),""),FIND(CHAR(10),SUBSTITUTE(A107,CHAR(13),"")&amp;CHAR(10))-1)),FIND(".",(" "&amp;LEFT(SUBSTITUTE(A107,CHAR(13),""),FIND(CHAR(10),SUBSTITUTE(A107,CHAR(13),"")&amp;CHAR(10))-1))))," ","~",LEN(LEFT((" "&amp;LEFT(SUBSTITUTE(A107,CHAR(13),""),FIND(CHAR(10),SUBSTITUTE(A107,CHAR(13),"")&amp;CHAR(10))-1)),FIND(".",(" "&amp;LEFT(SUBSTITUTE(A107,CHAR(13),""),FIND(CHAR(10),SUBSTITUTE(A107,CHAR(13),"")&amp;CHAR(10))-1)))))-LEN(SUBSTITUTE(LEFT((" "&amp;LEFT(SUBSTITUTE(A107,CHAR(13),""),FIND(CHAR(10),SUBSTITUTE(A107,CHAR(13),"")&amp;CHAR(10))-1)),FIND(".",(" "&amp;LEFT(SUBSTITUTE(A107,CHAR(13),""),FIND(CHAR(10),SUBSTITUTE(A107,CHAR(13),"")&amp;CHAR(10))-1))))," ",""))))+1)),""))</f>
        <v/>
      </c>
    </row>
    <row r="108" customFormat="false" ht="30" hidden="false" customHeight="true" outlineLevel="0" collapsed="false">
      <c r="A108" s="11" t="str">
        <f aca="false">IFERROR(INDEX(Pegar!$A$3:$A$1002,MATCH(104,Pegar!$B$3:$B$1002,0))&amp;IF(LEFT(INDEX(Pegar!$A$3:$A$1003,MATCH(104,Pegar!$B$3:$B$1002,0)+1),5)="DESC=",CHAR(10)&amp;INDEX(Pegar!$A$3:$A$1003,MATCH(104,Pegar!$B$3:$B$1002,0)+1),""),"")</f>
        <v/>
      </c>
      <c r="B108" s="12" t="str">
        <f aca="false">IF(TRIM(A108)="","",IFERROR(MID(SUBSTITUTE(SUBSTITUTE(A108,CHAR(10)," "),CHAR(13)," "),FIND(" MT"," "&amp;SUBSTITUTE(SUBSTITUTE(A108,CHAR(10)," "),CHAR(13)," ")),FIND(" ",SUBSTITUTE(SUBSTITUTE(A108,CHAR(10)," "),CHAR(13)," ")&amp;" ",FIND(" MT"," "&amp;SUBSTITUTE(SUBSTITUTE(A108,CHAR(10)," "),CHAR(13)," ")))-FIND(" MT"," "&amp;SUBSTITUTE(SUBSTITUTE(A108,CHAR(10)," "),CHAR(13)," "))),"MT no encontrado"))</f>
        <v/>
      </c>
      <c r="C108" s="15" t="str">
        <f aca="false">IF(TRIM(A108)="","",IF(D108="",FALSE(),SUBSTITUTE(SUBSTITUTE(SUBSTITUTE(D108,".",""),"0",""),"-","")&lt;&gt;""))</f>
        <v/>
      </c>
      <c r="D108" s="14" t="str">
        <f aca="false">IF(TRIM(A108)="","",IFERROR(MID((" "&amp;LEFT(SUBSTITUTE(A108,CHAR(13),""),FIND(CHAR(10),SUBSTITUTE(A108,CHAR(13),"")&amp;CHAR(10))-1)),(FIND("~",SUBSTITUTE(LEFT((" "&amp;LEFT(SUBSTITUTE(A108,CHAR(13),""),FIND(CHAR(10),SUBSTITUTE(A108,CHAR(13),"")&amp;CHAR(10))-1)),FIND(".",(" "&amp;LEFT(SUBSTITUTE(A108,CHAR(13),""),FIND(CHAR(10),SUBSTITUTE(A108,CHAR(13),"")&amp;CHAR(10))-1))))," ","~",LEN(LEFT((" "&amp;LEFT(SUBSTITUTE(A108,CHAR(13),""),FIND(CHAR(10),SUBSTITUTE(A108,CHAR(13),"")&amp;CHAR(10))-1)),FIND(".",(" "&amp;LEFT(SUBSTITUTE(A108,CHAR(13),""),FIND(CHAR(10),SUBSTITUTE(A108,CHAR(13),"")&amp;CHAR(10))-1)))))-LEN(SUBSTITUTE(LEFT((" "&amp;LEFT(SUBSTITUTE(A108,CHAR(13),""),FIND(CHAR(10),SUBSTITUTE(A108,CHAR(13),"")&amp;CHAR(10))-1)),FIND(".",(" "&amp;LEFT(SUBSTITUTE(A108,CHAR(13),""),FIND(CHAR(10),SUBSTITUTE(A108,CHAR(13),"")&amp;CHAR(10))-1))))," ",""))))+1),FIND(" ",(" "&amp;LEFT(SUBSTITUTE(A108,CHAR(13),""),FIND(CHAR(10),SUBSTITUTE(A108,CHAR(13),"")&amp;CHAR(10))-1))&amp;" ",FIND(".",(" "&amp;LEFT(SUBSTITUTE(A108,CHAR(13),""),FIND(CHAR(10),SUBSTITUTE(A108,CHAR(13),"")&amp;CHAR(10))-1))))-(FIND("~",SUBSTITUTE(LEFT((" "&amp;LEFT(SUBSTITUTE(A108,CHAR(13),""),FIND(CHAR(10),SUBSTITUTE(A108,CHAR(13),"")&amp;CHAR(10))-1)),FIND(".",(" "&amp;LEFT(SUBSTITUTE(A108,CHAR(13),""),FIND(CHAR(10),SUBSTITUTE(A108,CHAR(13),"")&amp;CHAR(10))-1))))," ","~",LEN(LEFT((" "&amp;LEFT(SUBSTITUTE(A108,CHAR(13),""),FIND(CHAR(10),SUBSTITUTE(A108,CHAR(13),"")&amp;CHAR(10))-1)),FIND(".",(" "&amp;LEFT(SUBSTITUTE(A108,CHAR(13),""),FIND(CHAR(10),SUBSTITUTE(A108,CHAR(13),"")&amp;CHAR(10))-1)))))-LEN(SUBSTITUTE(LEFT((" "&amp;LEFT(SUBSTITUTE(A108,CHAR(13),""),FIND(CHAR(10),SUBSTITUTE(A108,CHAR(13),"")&amp;CHAR(10))-1)),FIND(".",(" "&amp;LEFT(SUBSTITUTE(A108,CHAR(13),""),FIND(CHAR(10),SUBSTITUTE(A108,CHAR(13),"")&amp;CHAR(10))-1))))," ",""))))+1)),""))</f>
        <v/>
      </c>
    </row>
    <row r="109" customFormat="false" ht="30" hidden="false" customHeight="true" outlineLevel="0" collapsed="false">
      <c r="A109" s="11" t="str">
        <f aca="false">IFERROR(INDEX(Pegar!$A$3:$A$1002,MATCH(105,Pegar!$B$3:$B$1002,0))&amp;IF(LEFT(INDEX(Pegar!$A$3:$A$1003,MATCH(105,Pegar!$B$3:$B$1002,0)+1),5)="DESC=",CHAR(10)&amp;INDEX(Pegar!$A$3:$A$1003,MATCH(105,Pegar!$B$3:$B$1002,0)+1),""),"")</f>
        <v/>
      </c>
      <c r="B109" s="12" t="str">
        <f aca="false">IF(TRIM(A109)="","",IFERROR(MID(SUBSTITUTE(SUBSTITUTE(A109,CHAR(10)," "),CHAR(13)," "),FIND(" MT"," "&amp;SUBSTITUTE(SUBSTITUTE(A109,CHAR(10)," "),CHAR(13)," ")),FIND(" ",SUBSTITUTE(SUBSTITUTE(A109,CHAR(10)," "),CHAR(13)," ")&amp;" ",FIND(" MT"," "&amp;SUBSTITUTE(SUBSTITUTE(A109,CHAR(10)," "),CHAR(13)," ")))-FIND(" MT"," "&amp;SUBSTITUTE(SUBSTITUTE(A109,CHAR(10)," "),CHAR(13)," "))),"MT no encontrado"))</f>
        <v/>
      </c>
      <c r="C109" s="15" t="str">
        <f aca="false">IF(TRIM(A109)="","",IF(D109="",FALSE(),SUBSTITUTE(SUBSTITUTE(SUBSTITUTE(D109,".",""),"0",""),"-","")&lt;&gt;""))</f>
        <v/>
      </c>
      <c r="D109" s="14" t="str">
        <f aca="false">IF(TRIM(A109)="","",IFERROR(MID((" "&amp;LEFT(SUBSTITUTE(A109,CHAR(13),""),FIND(CHAR(10),SUBSTITUTE(A109,CHAR(13),"")&amp;CHAR(10))-1)),(FIND("~",SUBSTITUTE(LEFT((" "&amp;LEFT(SUBSTITUTE(A109,CHAR(13),""),FIND(CHAR(10),SUBSTITUTE(A109,CHAR(13),"")&amp;CHAR(10))-1)),FIND(".",(" "&amp;LEFT(SUBSTITUTE(A109,CHAR(13),""),FIND(CHAR(10),SUBSTITUTE(A109,CHAR(13),"")&amp;CHAR(10))-1))))," ","~",LEN(LEFT((" "&amp;LEFT(SUBSTITUTE(A109,CHAR(13),""),FIND(CHAR(10),SUBSTITUTE(A109,CHAR(13),"")&amp;CHAR(10))-1)),FIND(".",(" "&amp;LEFT(SUBSTITUTE(A109,CHAR(13),""),FIND(CHAR(10),SUBSTITUTE(A109,CHAR(13),"")&amp;CHAR(10))-1)))))-LEN(SUBSTITUTE(LEFT((" "&amp;LEFT(SUBSTITUTE(A109,CHAR(13),""),FIND(CHAR(10),SUBSTITUTE(A109,CHAR(13),"")&amp;CHAR(10))-1)),FIND(".",(" "&amp;LEFT(SUBSTITUTE(A109,CHAR(13),""),FIND(CHAR(10),SUBSTITUTE(A109,CHAR(13),"")&amp;CHAR(10))-1))))," ",""))))+1),FIND(" ",(" "&amp;LEFT(SUBSTITUTE(A109,CHAR(13),""),FIND(CHAR(10),SUBSTITUTE(A109,CHAR(13),"")&amp;CHAR(10))-1))&amp;" ",FIND(".",(" "&amp;LEFT(SUBSTITUTE(A109,CHAR(13),""),FIND(CHAR(10),SUBSTITUTE(A109,CHAR(13),"")&amp;CHAR(10))-1))))-(FIND("~",SUBSTITUTE(LEFT((" "&amp;LEFT(SUBSTITUTE(A109,CHAR(13),""),FIND(CHAR(10),SUBSTITUTE(A109,CHAR(13),"")&amp;CHAR(10))-1)),FIND(".",(" "&amp;LEFT(SUBSTITUTE(A109,CHAR(13),""),FIND(CHAR(10),SUBSTITUTE(A109,CHAR(13),"")&amp;CHAR(10))-1))))," ","~",LEN(LEFT((" "&amp;LEFT(SUBSTITUTE(A109,CHAR(13),""),FIND(CHAR(10),SUBSTITUTE(A109,CHAR(13),"")&amp;CHAR(10))-1)),FIND(".",(" "&amp;LEFT(SUBSTITUTE(A109,CHAR(13),""),FIND(CHAR(10),SUBSTITUTE(A109,CHAR(13),"")&amp;CHAR(10))-1)))))-LEN(SUBSTITUTE(LEFT((" "&amp;LEFT(SUBSTITUTE(A109,CHAR(13),""),FIND(CHAR(10),SUBSTITUTE(A109,CHAR(13),"")&amp;CHAR(10))-1)),FIND(".",(" "&amp;LEFT(SUBSTITUTE(A109,CHAR(13),""),FIND(CHAR(10),SUBSTITUTE(A109,CHAR(13),"")&amp;CHAR(10))-1))))," ",""))))+1)),""))</f>
        <v/>
      </c>
    </row>
    <row r="110" customFormat="false" ht="30" hidden="false" customHeight="true" outlineLevel="0" collapsed="false">
      <c r="A110" s="11" t="str">
        <f aca="false">IFERROR(INDEX(Pegar!$A$3:$A$1002,MATCH(106,Pegar!$B$3:$B$1002,0))&amp;IF(LEFT(INDEX(Pegar!$A$3:$A$1003,MATCH(106,Pegar!$B$3:$B$1002,0)+1),5)="DESC=",CHAR(10)&amp;INDEX(Pegar!$A$3:$A$1003,MATCH(106,Pegar!$B$3:$B$1002,0)+1),""),"")</f>
        <v/>
      </c>
      <c r="B110" s="12" t="str">
        <f aca="false">IF(TRIM(A110)="","",IFERROR(MID(SUBSTITUTE(SUBSTITUTE(A110,CHAR(10)," "),CHAR(13)," "),FIND(" MT"," "&amp;SUBSTITUTE(SUBSTITUTE(A110,CHAR(10)," "),CHAR(13)," ")),FIND(" ",SUBSTITUTE(SUBSTITUTE(A110,CHAR(10)," "),CHAR(13)," ")&amp;" ",FIND(" MT"," "&amp;SUBSTITUTE(SUBSTITUTE(A110,CHAR(10)," "),CHAR(13)," ")))-FIND(" MT"," "&amp;SUBSTITUTE(SUBSTITUTE(A110,CHAR(10)," "),CHAR(13)," "))),"MT no encontrado"))</f>
        <v/>
      </c>
      <c r="C110" s="15" t="str">
        <f aca="false">IF(TRIM(A110)="","",IF(D110="",FALSE(),SUBSTITUTE(SUBSTITUTE(SUBSTITUTE(D110,".",""),"0",""),"-","")&lt;&gt;""))</f>
        <v/>
      </c>
      <c r="D110" s="14" t="str">
        <f aca="false">IF(TRIM(A110)="","",IFERROR(MID((" "&amp;LEFT(SUBSTITUTE(A110,CHAR(13),""),FIND(CHAR(10),SUBSTITUTE(A110,CHAR(13),"")&amp;CHAR(10))-1)),(FIND("~",SUBSTITUTE(LEFT((" "&amp;LEFT(SUBSTITUTE(A110,CHAR(13),""),FIND(CHAR(10),SUBSTITUTE(A110,CHAR(13),"")&amp;CHAR(10))-1)),FIND(".",(" "&amp;LEFT(SUBSTITUTE(A110,CHAR(13),""),FIND(CHAR(10),SUBSTITUTE(A110,CHAR(13),"")&amp;CHAR(10))-1))))," ","~",LEN(LEFT((" "&amp;LEFT(SUBSTITUTE(A110,CHAR(13),""),FIND(CHAR(10),SUBSTITUTE(A110,CHAR(13),"")&amp;CHAR(10))-1)),FIND(".",(" "&amp;LEFT(SUBSTITUTE(A110,CHAR(13),""),FIND(CHAR(10),SUBSTITUTE(A110,CHAR(13),"")&amp;CHAR(10))-1)))))-LEN(SUBSTITUTE(LEFT((" "&amp;LEFT(SUBSTITUTE(A110,CHAR(13),""),FIND(CHAR(10),SUBSTITUTE(A110,CHAR(13),"")&amp;CHAR(10))-1)),FIND(".",(" "&amp;LEFT(SUBSTITUTE(A110,CHAR(13),""),FIND(CHAR(10),SUBSTITUTE(A110,CHAR(13),"")&amp;CHAR(10))-1))))," ",""))))+1),FIND(" ",(" "&amp;LEFT(SUBSTITUTE(A110,CHAR(13),""),FIND(CHAR(10),SUBSTITUTE(A110,CHAR(13),"")&amp;CHAR(10))-1))&amp;" ",FIND(".",(" "&amp;LEFT(SUBSTITUTE(A110,CHAR(13),""),FIND(CHAR(10),SUBSTITUTE(A110,CHAR(13),"")&amp;CHAR(10))-1))))-(FIND("~",SUBSTITUTE(LEFT((" "&amp;LEFT(SUBSTITUTE(A110,CHAR(13),""),FIND(CHAR(10),SUBSTITUTE(A110,CHAR(13),"")&amp;CHAR(10))-1)),FIND(".",(" "&amp;LEFT(SUBSTITUTE(A110,CHAR(13),""),FIND(CHAR(10),SUBSTITUTE(A110,CHAR(13),"")&amp;CHAR(10))-1))))," ","~",LEN(LEFT((" "&amp;LEFT(SUBSTITUTE(A110,CHAR(13),""),FIND(CHAR(10),SUBSTITUTE(A110,CHAR(13),"")&amp;CHAR(10))-1)),FIND(".",(" "&amp;LEFT(SUBSTITUTE(A110,CHAR(13),""),FIND(CHAR(10),SUBSTITUTE(A110,CHAR(13),"")&amp;CHAR(10))-1)))))-LEN(SUBSTITUTE(LEFT((" "&amp;LEFT(SUBSTITUTE(A110,CHAR(13),""),FIND(CHAR(10),SUBSTITUTE(A110,CHAR(13),"")&amp;CHAR(10))-1)),FIND(".",(" "&amp;LEFT(SUBSTITUTE(A110,CHAR(13),""),FIND(CHAR(10),SUBSTITUTE(A110,CHAR(13),"")&amp;CHAR(10))-1))))," ",""))))+1)),""))</f>
        <v/>
      </c>
    </row>
    <row r="111" customFormat="false" ht="30" hidden="false" customHeight="true" outlineLevel="0" collapsed="false">
      <c r="A111" s="11" t="str">
        <f aca="false">IFERROR(INDEX(Pegar!$A$3:$A$1002,MATCH(107,Pegar!$B$3:$B$1002,0))&amp;IF(LEFT(INDEX(Pegar!$A$3:$A$1003,MATCH(107,Pegar!$B$3:$B$1002,0)+1),5)="DESC=",CHAR(10)&amp;INDEX(Pegar!$A$3:$A$1003,MATCH(107,Pegar!$B$3:$B$1002,0)+1),""),"")</f>
        <v/>
      </c>
      <c r="B111" s="12" t="str">
        <f aca="false">IF(TRIM(A111)="","",IFERROR(MID(SUBSTITUTE(SUBSTITUTE(A111,CHAR(10)," "),CHAR(13)," "),FIND(" MT"," "&amp;SUBSTITUTE(SUBSTITUTE(A111,CHAR(10)," "),CHAR(13)," ")),FIND(" ",SUBSTITUTE(SUBSTITUTE(A111,CHAR(10)," "),CHAR(13)," ")&amp;" ",FIND(" MT"," "&amp;SUBSTITUTE(SUBSTITUTE(A111,CHAR(10)," "),CHAR(13)," ")))-FIND(" MT"," "&amp;SUBSTITUTE(SUBSTITUTE(A111,CHAR(10)," "),CHAR(13)," "))),"MT no encontrado"))</f>
        <v/>
      </c>
      <c r="C111" s="15" t="str">
        <f aca="false">IF(TRIM(A111)="","",IF(D111="",FALSE(),SUBSTITUTE(SUBSTITUTE(SUBSTITUTE(D111,".",""),"0",""),"-","")&lt;&gt;""))</f>
        <v/>
      </c>
      <c r="D111" s="14" t="str">
        <f aca="false">IF(TRIM(A111)="","",IFERROR(MID((" "&amp;LEFT(SUBSTITUTE(A111,CHAR(13),""),FIND(CHAR(10),SUBSTITUTE(A111,CHAR(13),"")&amp;CHAR(10))-1)),(FIND("~",SUBSTITUTE(LEFT((" "&amp;LEFT(SUBSTITUTE(A111,CHAR(13),""),FIND(CHAR(10),SUBSTITUTE(A111,CHAR(13),"")&amp;CHAR(10))-1)),FIND(".",(" "&amp;LEFT(SUBSTITUTE(A111,CHAR(13),""),FIND(CHAR(10),SUBSTITUTE(A111,CHAR(13),"")&amp;CHAR(10))-1))))," ","~",LEN(LEFT((" "&amp;LEFT(SUBSTITUTE(A111,CHAR(13),""),FIND(CHAR(10),SUBSTITUTE(A111,CHAR(13),"")&amp;CHAR(10))-1)),FIND(".",(" "&amp;LEFT(SUBSTITUTE(A111,CHAR(13),""),FIND(CHAR(10),SUBSTITUTE(A111,CHAR(13),"")&amp;CHAR(10))-1)))))-LEN(SUBSTITUTE(LEFT((" "&amp;LEFT(SUBSTITUTE(A111,CHAR(13),""),FIND(CHAR(10),SUBSTITUTE(A111,CHAR(13),"")&amp;CHAR(10))-1)),FIND(".",(" "&amp;LEFT(SUBSTITUTE(A111,CHAR(13),""),FIND(CHAR(10),SUBSTITUTE(A111,CHAR(13),"")&amp;CHAR(10))-1))))," ",""))))+1),FIND(" ",(" "&amp;LEFT(SUBSTITUTE(A111,CHAR(13),""),FIND(CHAR(10),SUBSTITUTE(A111,CHAR(13),"")&amp;CHAR(10))-1))&amp;" ",FIND(".",(" "&amp;LEFT(SUBSTITUTE(A111,CHAR(13),""),FIND(CHAR(10),SUBSTITUTE(A111,CHAR(13),"")&amp;CHAR(10))-1))))-(FIND("~",SUBSTITUTE(LEFT((" "&amp;LEFT(SUBSTITUTE(A111,CHAR(13),""),FIND(CHAR(10),SUBSTITUTE(A111,CHAR(13),"")&amp;CHAR(10))-1)),FIND(".",(" "&amp;LEFT(SUBSTITUTE(A111,CHAR(13),""),FIND(CHAR(10),SUBSTITUTE(A111,CHAR(13),"")&amp;CHAR(10))-1))))," ","~",LEN(LEFT((" "&amp;LEFT(SUBSTITUTE(A111,CHAR(13),""),FIND(CHAR(10),SUBSTITUTE(A111,CHAR(13),"")&amp;CHAR(10))-1)),FIND(".",(" "&amp;LEFT(SUBSTITUTE(A111,CHAR(13),""),FIND(CHAR(10),SUBSTITUTE(A111,CHAR(13),"")&amp;CHAR(10))-1)))))-LEN(SUBSTITUTE(LEFT((" "&amp;LEFT(SUBSTITUTE(A111,CHAR(13),""),FIND(CHAR(10),SUBSTITUTE(A111,CHAR(13),"")&amp;CHAR(10))-1)),FIND(".",(" "&amp;LEFT(SUBSTITUTE(A111,CHAR(13),""),FIND(CHAR(10),SUBSTITUTE(A111,CHAR(13),"")&amp;CHAR(10))-1))))," ",""))))+1)),""))</f>
        <v/>
      </c>
    </row>
    <row r="112" customFormat="false" ht="30" hidden="false" customHeight="true" outlineLevel="0" collapsed="false">
      <c r="A112" s="11" t="str">
        <f aca="false">IFERROR(INDEX(Pegar!$A$3:$A$1002,MATCH(108,Pegar!$B$3:$B$1002,0))&amp;IF(LEFT(INDEX(Pegar!$A$3:$A$1003,MATCH(108,Pegar!$B$3:$B$1002,0)+1),5)="DESC=",CHAR(10)&amp;INDEX(Pegar!$A$3:$A$1003,MATCH(108,Pegar!$B$3:$B$1002,0)+1),""),"")</f>
        <v/>
      </c>
      <c r="B112" s="12" t="str">
        <f aca="false">IF(TRIM(A112)="","",IFERROR(MID(SUBSTITUTE(SUBSTITUTE(A112,CHAR(10)," "),CHAR(13)," "),FIND(" MT"," "&amp;SUBSTITUTE(SUBSTITUTE(A112,CHAR(10)," "),CHAR(13)," ")),FIND(" ",SUBSTITUTE(SUBSTITUTE(A112,CHAR(10)," "),CHAR(13)," ")&amp;" ",FIND(" MT"," "&amp;SUBSTITUTE(SUBSTITUTE(A112,CHAR(10)," "),CHAR(13)," ")))-FIND(" MT"," "&amp;SUBSTITUTE(SUBSTITUTE(A112,CHAR(10)," "),CHAR(13)," "))),"MT no encontrado"))</f>
        <v/>
      </c>
      <c r="C112" s="15" t="str">
        <f aca="false">IF(TRIM(A112)="","",IF(D112="",FALSE(),SUBSTITUTE(SUBSTITUTE(SUBSTITUTE(D112,".",""),"0",""),"-","")&lt;&gt;""))</f>
        <v/>
      </c>
      <c r="D112" s="14" t="str">
        <f aca="false">IF(TRIM(A112)="","",IFERROR(MID((" "&amp;LEFT(SUBSTITUTE(A112,CHAR(13),""),FIND(CHAR(10),SUBSTITUTE(A112,CHAR(13),"")&amp;CHAR(10))-1)),(FIND("~",SUBSTITUTE(LEFT((" "&amp;LEFT(SUBSTITUTE(A112,CHAR(13),""),FIND(CHAR(10),SUBSTITUTE(A112,CHAR(13),"")&amp;CHAR(10))-1)),FIND(".",(" "&amp;LEFT(SUBSTITUTE(A112,CHAR(13),""),FIND(CHAR(10),SUBSTITUTE(A112,CHAR(13),"")&amp;CHAR(10))-1))))," ","~",LEN(LEFT((" "&amp;LEFT(SUBSTITUTE(A112,CHAR(13),""),FIND(CHAR(10),SUBSTITUTE(A112,CHAR(13),"")&amp;CHAR(10))-1)),FIND(".",(" "&amp;LEFT(SUBSTITUTE(A112,CHAR(13),""),FIND(CHAR(10),SUBSTITUTE(A112,CHAR(13),"")&amp;CHAR(10))-1)))))-LEN(SUBSTITUTE(LEFT((" "&amp;LEFT(SUBSTITUTE(A112,CHAR(13),""),FIND(CHAR(10),SUBSTITUTE(A112,CHAR(13),"")&amp;CHAR(10))-1)),FIND(".",(" "&amp;LEFT(SUBSTITUTE(A112,CHAR(13),""),FIND(CHAR(10),SUBSTITUTE(A112,CHAR(13),"")&amp;CHAR(10))-1))))," ",""))))+1),FIND(" ",(" "&amp;LEFT(SUBSTITUTE(A112,CHAR(13),""),FIND(CHAR(10),SUBSTITUTE(A112,CHAR(13),"")&amp;CHAR(10))-1))&amp;" ",FIND(".",(" "&amp;LEFT(SUBSTITUTE(A112,CHAR(13),""),FIND(CHAR(10),SUBSTITUTE(A112,CHAR(13),"")&amp;CHAR(10))-1))))-(FIND("~",SUBSTITUTE(LEFT((" "&amp;LEFT(SUBSTITUTE(A112,CHAR(13),""),FIND(CHAR(10),SUBSTITUTE(A112,CHAR(13),"")&amp;CHAR(10))-1)),FIND(".",(" "&amp;LEFT(SUBSTITUTE(A112,CHAR(13),""),FIND(CHAR(10),SUBSTITUTE(A112,CHAR(13),"")&amp;CHAR(10))-1))))," ","~",LEN(LEFT((" "&amp;LEFT(SUBSTITUTE(A112,CHAR(13),""),FIND(CHAR(10),SUBSTITUTE(A112,CHAR(13),"")&amp;CHAR(10))-1)),FIND(".",(" "&amp;LEFT(SUBSTITUTE(A112,CHAR(13),""),FIND(CHAR(10),SUBSTITUTE(A112,CHAR(13),"")&amp;CHAR(10))-1)))))-LEN(SUBSTITUTE(LEFT((" "&amp;LEFT(SUBSTITUTE(A112,CHAR(13),""),FIND(CHAR(10),SUBSTITUTE(A112,CHAR(13),"")&amp;CHAR(10))-1)),FIND(".",(" "&amp;LEFT(SUBSTITUTE(A112,CHAR(13),""),FIND(CHAR(10),SUBSTITUTE(A112,CHAR(13),"")&amp;CHAR(10))-1))))," ",""))))+1)),""))</f>
        <v/>
      </c>
    </row>
    <row r="113" customFormat="false" ht="30" hidden="false" customHeight="true" outlineLevel="0" collapsed="false">
      <c r="A113" s="11" t="str">
        <f aca="false">IFERROR(INDEX(Pegar!$A$3:$A$1002,MATCH(109,Pegar!$B$3:$B$1002,0))&amp;IF(LEFT(INDEX(Pegar!$A$3:$A$1003,MATCH(109,Pegar!$B$3:$B$1002,0)+1),5)="DESC=",CHAR(10)&amp;INDEX(Pegar!$A$3:$A$1003,MATCH(109,Pegar!$B$3:$B$1002,0)+1),""),"")</f>
        <v/>
      </c>
      <c r="B113" s="12" t="str">
        <f aca="false">IF(TRIM(A113)="","",IFERROR(MID(SUBSTITUTE(SUBSTITUTE(A113,CHAR(10)," "),CHAR(13)," "),FIND(" MT"," "&amp;SUBSTITUTE(SUBSTITUTE(A113,CHAR(10)," "),CHAR(13)," ")),FIND(" ",SUBSTITUTE(SUBSTITUTE(A113,CHAR(10)," "),CHAR(13)," ")&amp;" ",FIND(" MT"," "&amp;SUBSTITUTE(SUBSTITUTE(A113,CHAR(10)," "),CHAR(13)," ")))-FIND(" MT"," "&amp;SUBSTITUTE(SUBSTITUTE(A113,CHAR(10)," "),CHAR(13)," "))),"MT no encontrado"))</f>
        <v/>
      </c>
      <c r="C113" s="15" t="str">
        <f aca="false">IF(TRIM(A113)="","",IF(D113="",FALSE(),SUBSTITUTE(SUBSTITUTE(SUBSTITUTE(D113,".",""),"0",""),"-","")&lt;&gt;""))</f>
        <v/>
      </c>
      <c r="D113" s="14" t="str">
        <f aca="false">IF(TRIM(A113)="","",IFERROR(MID((" "&amp;LEFT(SUBSTITUTE(A113,CHAR(13),""),FIND(CHAR(10),SUBSTITUTE(A113,CHAR(13),"")&amp;CHAR(10))-1)),(FIND("~",SUBSTITUTE(LEFT((" "&amp;LEFT(SUBSTITUTE(A113,CHAR(13),""),FIND(CHAR(10),SUBSTITUTE(A113,CHAR(13),"")&amp;CHAR(10))-1)),FIND(".",(" "&amp;LEFT(SUBSTITUTE(A113,CHAR(13),""),FIND(CHAR(10),SUBSTITUTE(A113,CHAR(13),"")&amp;CHAR(10))-1))))," ","~",LEN(LEFT((" "&amp;LEFT(SUBSTITUTE(A113,CHAR(13),""),FIND(CHAR(10),SUBSTITUTE(A113,CHAR(13),"")&amp;CHAR(10))-1)),FIND(".",(" "&amp;LEFT(SUBSTITUTE(A113,CHAR(13),""),FIND(CHAR(10),SUBSTITUTE(A113,CHAR(13),"")&amp;CHAR(10))-1)))))-LEN(SUBSTITUTE(LEFT((" "&amp;LEFT(SUBSTITUTE(A113,CHAR(13),""),FIND(CHAR(10),SUBSTITUTE(A113,CHAR(13),"")&amp;CHAR(10))-1)),FIND(".",(" "&amp;LEFT(SUBSTITUTE(A113,CHAR(13),""),FIND(CHAR(10),SUBSTITUTE(A113,CHAR(13),"")&amp;CHAR(10))-1))))," ",""))))+1),FIND(" ",(" "&amp;LEFT(SUBSTITUTE(A113,CHAR(13),""),FIND(CHAR(10),SUBSTITUTE(A113,CHAR(13),"")&amp;CHAR(10))-1))&amp;" ",FIND(".",(" "&amp;LEFT(SUBSTITUTE(A113,CHAR(13),""),FIND(CHAR(10),SUBSTITUTE(A113,CHAR(13),"")&amp;CHAR(10))-1))))-(FIND("~",SUBSTITUTE(LEFT((" "&amp;LEFT(SUBSTITUTE(A113,CHAR(13),""),FIND(CHAR(10),SUBSTITUTE(A113,CHAR(13),"")&amp;CHAR(10))-1)),FIND(".",(" "&amp;LEFT(SUBSTITUTE(A113,CHAR(13),""),FIND(CHAR(10),SUBSTITUTE(A113,CHAR(13),"")&amp;CHAR(10))-1))))," ","~",LEN(LEFT((" "&amp;LEFT(SUBSTITUTE(A113,CHAR(13),""),FIND(CHAR(10),SUBSTITUTE(A113,CHAR(13),"")&amp;CHAR(10))-1)),FIND(".",(" "&amp;LEFT(SUBSTITUTE(A113,CHAR(13),""),FIND(CHAR(10),SUBSTITUTE(A113,CHAR(13),"")&amp;CHAR(10))-1)))))-LEN(SUBSTITUTE(LEFT((" "&amp;LEFT(SUBSTITUTE(A113,CHAR(13),""),FIND(CHAR(10),SUBSTITUTE(A113,CHAR(13),"")&amp;CHAR(10))-1)),FIND(".",(" "&amp;LEFT(SUBSTITUTE(A113,CHAR(13),""),FIND(CHAR(10),SUBSTITUTE(A113,CHAR(13),"")&amp;CHAR(10))-1))))," ",""))))+1)),""))</f>
        <v/>
      </c>
    </row>
    <row r="114" customFormat="false" ht="30" hidden="false" customHeight="true" outlineLevel="0" collapsed="false">
      <c r="A114" s="11" t="str">
        <f aca="false">IFERROR(INDEX(Pegar!$A$3:$A$1002,MATCH(110,Pegar!$B$3:$B$1002,0))&amp;IF(LEFT(INDEX(Pegar!$A$3:$A$1003,MATCH(110,Pegar!$B$3:$B$1002,0)+1),5)="DESC=",CHAR(10)&amp;INDEX(Pegar!$A$3:$A$1003,MATCH(110,Pegar!$B$3:$B$1002,0)+1),""),"")</f>
        <v/>
      </c>
      <c r="B114" s="12" t="str">
        <f aca="false">IF(TRIM(A114)="","",IFERROR(MID(SUBSTITUTE(SUBSTITUTE(A114,CHAR(10)," "),CHAR(13)," "),FIND(" MT"," "&amp;SUBSTITUTE(SUBSTITUTE(A114,CHAR(10)," "),CHAR(13)," ")),FIND(" ",SUBSTITUTE(SUBSTITUTE(A114,CHAR(10)," "),CHAR(13)," ")&amp;" ",FIND(" MT"," "&amp;SUBSTITUTE(SUBSTITUTE(A114,CHAR(10)," "),CHAR(13)," ")))-FIND(" MT"," "&amp;SUBSTITUTE(SUBSTITUTE(A114,CHAR(10)," "),CHAR(13)," "))),"MT no encontrado"))</f>
        <v/>
      </c>
      <c r="C114" s="15" t="str">
        <f aca="false">IF(TRIM(A114)="","",IF(D114="",FALSE(),SUBSTITUTE(SUBSTITUTE(SUBSTITUTE(D114,".",""),"0",""),"-","")&lt;&gt;""))</f>
        <v/>
      </c>
      <c r="D114" s="14" t="str">
        <f aca="false">IF(TRIM(A114)="","",IFERROR(MID((" "&amp;LEFT(SUBSTITUTE(A114,CHAR(13),""),FIND(CHAR(10),SUBSTITUTE(A114,CHAR(13),"")&amp;CHAR(10))-1)),(FIND("~",SUBSTITUTE(LEFT((" "&amp;LEFT(SUBSTITUTE(A114,CHAR(13),""),FIND(CHAR(10),SUBSTITUTE(A114,CHAR(13),"")&amp;CHAR(10))-1)),FIND(".",(" "&amp;LEFT(SUBSTITUTE(A114,CHAR(13),""),FIND(CHAR(10),SUBSTITUTE(A114,CHAR(13),"")&amp;CHAR(10))-1))))," ","~",LEN(LEFT((" "&amp;LEFT(SUBSTITUTE(A114,CHAR(13),""),FIND(CHAR(10),SUBSTITUTE(A114,CHAR(13),"")&amp;CHAR(10))-1)),FIND(".",(" "&amp;LEFT(SUBSTITUTE(A114,CHAR(13),""),FIND(CHAR(10),SUBSTITUTE(A114,CHAR(13),"")&amp;CHAR(10))-1)))))-LEN(SUBSTITUTE(LEFT((" "&amp;LEFT(SUBSTITUTE(A114,CHAR(13),""),FIND(CHAR(10),SUBSTITUTE(A114,CHAR(13),"")&amp;CHAR(10))-1)),FIND(".",(" "&amp;LEFT(SUBSTITUTE(A114,CHAR(13),""),FIND(CHAR(10),SUBSTITUTE(A114,CHAR(13),"")&amp;CHAR(10))-1))))," ",""))))+1),FIND(" ",(" "&amp;LEFT(SUBSTITUTE(A114,CHAR(13),""),FIND(CHAR(10),SUBSTITUTE(A114,CHAR(13),"")&amp;CHAR(10))-1))&amp;" ",FIND(".",(" "&amp;LEFT(SUBSTITUTE(A114,CHAR(13),""),FIND(CHAR(10),SUBSTITUTE(A114,CHAR(13),"")&amp;CHAR(10))-1))))-(FIND("~",SUBSTITUTE(LEFT((" "&amp;LEFT(SUBSTITUTE(A114,CHAR(13),""),FIND(CHAR(10),SUBSTITUTE(A114,CHAR(13),"")&amp;CHAR(10))-1)),FIND(".",(" "&amp;LEFT(SUBSTITUTE(A114,CHAR(13),""),FIND(CHAR(10),SUBSTITUTE(A114,CHAR(13),"")&amp;CHAR(10))-1))))," ","~",LEN(LEFT((" "&amp;LEFT(SUBSTITUTE(A114,CHAR(13),""),FIND(CHAR(10),SUBSTITUTE(A114,CHAR(13),"")&amp;CHAR(10))-1)),FIND(".",(" "&amp;LEFT(SUBSTITUTE(A114,CHAR(13),""),FIND(CHAR(10),SUBSTITUTE(A114,CHAR(13),"")&amp;CHAR(10))-1)))))-LEN(SUBSTITUTE(LEFT((" "&amp;LEFT(SUBSTITUTE(A114,CHAR(13),""),FIND(CHAR(10),SUBSTITUTE(A114,CHAR(13),"")&amp;CHAR(10))-1)),FIND(".",(" "&amp;LEFT(SUBSTITUTE(A114,CHAR(13),""),FIND(CHAR(10),SUBSTITUTE(A114,CHAR(13),"")&amp;CHAR(10))-1))))," ",""))))+1)),""))</f>
        <v/>
      </c>
    </row>
    <row r="115" customFormat="false" ht="30" hidden="false" customHeight="true" outlineLevel="0" collapsed="false">
      <c r="A115" s="11" t="str">
        <f aca="false">IFERROR(INDEX(Pegar!$A$3:$A$1002,MATCH(111,Pegar!$B$3:$B$1002,0))&amp;IF(LEFT(INDEX(Pegar!$A$3:$A$1003,MATCH(111,Pegar!$B$3:$B$1002,0)+1),5)="DESC=",CHAR(10)&amp;INDEX(Pegar!$A$3:$A$1003,MATCH(111,Pegar!$B$3:$B$1002,0)+1),""),"")</f>
        <v/>
      </c>
      <c r="B115" s="12" t="str">
        <f aca="false">IF(TRIM(A115)="","",IFERROR(MID(SUBSTITUTE(SUBSTITUTE(A115,CHAR(10)," "),CHAR(13)," "),FIND(" MT"," "&amp;SUBSTITUTE(SUBSTITUTE(A115,CHAR(10)," "),CHAR(13)," ")),FIND(" ",SUBSTITUTE(SUBSTITUTE(A115,CHAR(10)," "),CHAR(13)," ")&amp;" ",FIND(" MT"," "&amp;SUBSTITUTE(SUBSTITUTE(A115,CHAR(10)," "),CHAR(13)," ")))-FIND(" MT"," "&amp;SUBSTITUTE(SUBSTITUTE(A115,CHAR(10)," "),CHAR(13)," "))),"MT no encontrado"))</f>
        <v/>
      </c>
      <c r="C115" s="15" t="str">
        <f aca="false">IF(TRIM(A115)="","",IF(D115="",FALSE(),SUBSTITUTE(SUBSTITUTE(SUBSTITUTE(D115,".",""),"0",""),"-","")&lt;&gt;""))</f>
        <v/>
      </c>
      <c r="D115" s="14" t="str">
        <f aca="false">IF(TRIM(A115)="","",IFERROR(MID((" "&amp;LEFT(SUBSTITUTE(A115,CHAR(13),""),FIND(CHAR(10),SUBSTITUTE(A115,CHAR(13),"")&amp;CHAR(10))-1)),(FIND("~",SUBSTITUTE(LEFT((" "&amp;LEFT(SUBSTITUTE(A115,CHAR(13),""),FIND(CHAR(10),SUBSTITUTE(A115,CHAR(13),"")&amp;CHAR(10))-1)),FIND(".",(" "&amp;LEFT(SUBSTITUTE(A115,CHAR(13),""),FIND(CHAR(10),SUBSTITUTE(A115,CHAR(13),"")&amp;CHAR(10))-1))))," ","~",LEN(LEFT((" "&amp;LEFT(SUBSTITUTE(A115,CHAR(13),""),FIND(CHAR(10),SUBSTITUTE(A115,CHAR(13),"")&amp;CHAR(10))-1)),FIND(".",(" "&amp;LEFT(SUBSTITUTE(A115,CHAR(13),""),FIND(CHAR(10),SUBSTITUTE(A115,CHAR(13),"")&amp;CHAR(10))-1)))))-LEN(SUBSTITUTE(LEFT((" "&amp;LEFT(SUBSTITUTE(A115,CHAR(13),""),FIND(CHAR(10),SUBSTITUTE(A115,CHAR(13),"")&amp;CHAR(10))-1)),FIND(".",(" "&amp;LEFT(SUBSTITUTE(A115,CHAR(13),""),FIND(CHAR(10),SUBSTITUTE(A115,CHAR(13),"")&amp;CHAR(10))-1))))," ",""))))+1),FIND(" ",(" "&amp;LEFT(SUBSTITUTE(A115,CHAR(13),""),FIND(CHAR(10),SUBSTITUTE(A115,CHAR(13),"")&amp;CHAR(10))-1))&amp;" ",FIND(".",(" "&amp;LEFT(SUBSTITUTE(A115,CHAR(13),""),FIND(CHAR(10),SUBSTITUTE(A115,CHAR(13),"")&amp;CHAR(10))-1))))-(FIND("~",SUBSTITUTE(LEFT((" "&amp;LEFT(SUBSTITUTE(A115,CHAR(13),""),FIND(CHAR(10),SUBSTITUTE(A115,CHAR(13),"")&amp;CHAR(10))-1)),FIND(".",(" "&amp;LEFT(SUBSTITUTE(A115,CHAR(13),""),FIND(CHAR(10),SUBSTITUTE(A115,CHAR(13),"")&amp;CHAR(10))-1))))," ","~",LEN(LEFT((" "&amp;LEFT(SUBSTITUTE(A115,CHAR(13),""),FIND(CHAR(10),SUBSTITUTE(A115,CHAR(13),"")&amp;CHAR(10))-1)),FIND(".",(" "&amp;LEFT(SUBSTITUTE(A115,CHAR(13),""),FIND(CHAR(10),SUBSTITUTE(A115,CHAR(13),"")&amp;CHAR(10))-1)))))-LEN(SUBSTITUTE(LEFT((" "&amp;LEFT(SUBSTITUTE(A115,CHAR(13),""),FIND(CHAR(10),SUBSTITUTE(A115,CHAR(13),"")&amp;CHAR(10))-1)),FIND(".",(" "&amp;LEFT(SUBSTITUTE(A115,CHAR(13),""),FIND(CHAR(10),SUBSTITUTE(A115,CHAR(13),"")&amp;CHAR(10))-1))))," ",""))))+1)),""))</f>
        <v/>
      </c>
    </row>
    <row r="116" customFormat="false" ht="30" hidden="false" customHeight="true" outlineLevel="0" collapsed="false">
      <c r="A116" s="11" t="str">
        <f aca="false">IFERROR(INDEX(Pegar!$A$3:$A$1002,MATCH(112,Pegar!$B$3:$B$1002,0))&amp;IF(LEFT(INDEX(Pegar!$A$3:$A$1003,MATCH(112,Pegar!$B$3:$B$1002,0)+1),5)="DESC=",CHAR(10)&amp;INDEX(Pegar!$A$3:$A$1003,MATCH(112,Pegar!$B$3:$B$1002,0)+1),""),"")</f>
        <v/>
      </c>
      <c r="B116" s="12" t="str">
        <f aca="false">IF(TRIM(A116)="","",IFERROR(MID(SUBSTITUTE(SUBSTITUTE(A116,CHAR(10)," "),CHAR(13)," "),FIND(" MT"," "&amp;SUBSTITUTE(SUBSTITUTE(A116,CHAR(10)," "),CHAR(13)," ")),FIND(" ",SUBSTITUTE(SUBSTITUTE(A116,CHAR(10)," "),CHAR(13)," ")&amp;" ",FIND(" MT"," "&amp;SUBSTITUTE(SUBSTITUTE(A116,CHAR(10)," "),CHAR(13)," ")))-FIND(" MT"," "&amp;SUBSTITUTE(SUBSTITUTE(A116,CHAR(10)," "),CHAR(13)," "))),"MT no encontrado"))</f>
        <v/>
      </c>
      <c r="C116" s="15" t="str">
        <f aca="false">IF(TRIM(A116)="","",IF(D116="",FALSE(),SUBSTITUTE(SUBSTITUTE(SUBSTITUTE(D116,".",""),"0",""),"-","")&lt;&gt;""))</f>
        <v/>
      </c>
      <c r="D116" s="14" t="str">
        <f aca="false">IF(TRIM(A116)="","",IFERROR(MID((" "&amp;LEFT(SUBSTITUTE(A116,CHAR(13),""),FIND(CHAR(10),SUBSTITUTE(A116,CHAR(13),"")&amp;CHAR(10))-1)),(FIND("~",SUBSTITUTE(LEFT((" "&amp;LEFT(SUBSTITUTE(A116,CHAR(13),""),FIND(CHAR(10),SUBSTITUTE(A116,CHAR(13),"")&amp;CHAR(10))-1)),FIND(".",(" "&amp;LEFT(SUBSTITUTE(A116,CHAR(13),""),FIND(CHAR(10),SUBSTITUTE(A116,CHAR(13),"")&amp;CHAR(10))-1))))," ","~",LEN(LEFT((" "&amp;LEFT(SUBSTITUTE(A116,CHAR(13),""),FIND(CHAR(10),SUBSTITUTE(A116,CHAR(13),"")&amp;CHAR(10))-1)),FIND(".",(" "&amp;LEFT(SUBSTITUTE(A116,CHAR(13),""),FIND(CHAR(10),SUBSTITUTE(A116,CHAR(13),"")&amp;CHAR(10))-1)))))-LEN(SUBSTITUTE(LEFT((" "&amp;LEFT(SUBSTITUTE(A116,CHAR(13),""),FIND(CHAR(10),SUBSTITUTE(A116,CHAR(13),"")&amp;CHAR(10))-1)),FIND(".",(" "&amp;LEFT(SUBSTITUTE(A116,CHAR(13),""),FIND(CHAR(10),SUBSTITUTE(A116,CHAR(13),"")&amp;CHAR(10))-1))))," ",""))))+1),FIND(" ",(" "&amp;LEFT(SUBSTITUTE(A116,CHAR(13),""),FIND(CHAR(10),SUBSTITUTE(A116,CHAR(13),"")&amp;CHAR(10))-1))&amp;" ",FIND(".",(" "&amp;LEFT(SUBSTITUTE(A116,CHAR(13),""),FIND(CHAR(10),SUBSTITUTE(A116,CHAR(13),"")&amp;CHAR(10))-1))))-(FIND("~",SUBSTITUTE(LEFT((" "&amp;LEFT(SUBSTITUTE(A116,CHAR(13),""),FIND(CHAR(10),SUBSTITUTE(A116,CHAR(13),"")&amp;CHAR(10))-1)),FIND(".",(" "&amp;LEFT(SUBSTITUTE(A116,CHAR(13),""),FIND(CHAR(10),SUBSTITUTE(A116,CHAR(13),"")&amp;CHAR(10))-1))))," ","~",LEN(LEFT((" "&amp;LEFT(SUBSTITUTE(A116,CHAR(13),""),FIND(CHAR(10),SUBSTITUTE(A116,CHAR(13),"")&amp;CHAR(10))-1)),FIND(".",(" "&amp;LEFT(SUBSTITUTE(A116,CHAR(13),""),FIND(CHAR(10),SUBSTITUTE(A116,CHAR(13),"")&amp;CHAR(10))-1)))))-LEN(SUBSTITUTE(LEFT((" "&amp;LEFT(SUBSTITUTE(A116,CHAR(13),""),FIND(CHAR(10),SUBSTITUTE(A116,CHAR(13),"")&amp;CHAR(10))-1)),FIND(".",(" "&amp;LEFT(SUBSTITUTE(A116,CHAR(13),""),FIND(CHAR(10),SUBSTITUTE(A116,CHAR(13),"")&amp;CHAR(10))-1))))," ",""))))+1)),""))</f>
        <v/>
      </c>
    </row>
    <row r="117" customFormat="false" ht="30" hidden="false" customHeight="true" outlineLevel="0" collapsed="false">
      <c r="A117" s="11" t="str">
        <f aca="false">IFERROR(INDEX(Pegar!$A$3:$A$1002,MATCH(113,Pegar!$B$3:$B$1002,0))&amp;IF(LEFT(INDEX(Pegar!$A$3:$A$1003,MATCH(113,Pegar!$B$3:$B$1002,0)+1),5)="DESC=",CHAR(10)&amp;INDEX(Pegar!$A$3:$A$1003,MATCH(113,Pegar!$B$3:$B$1002,0)+1),""),"")</f>
        <v/>
      </c>
      <c r="B117" s="12" t="str">
        <f aca="false">IF(TRIM(A117)="","",IFERROR(MID(SUBSTITUTE(SUBSTITUTE(A117,CHAR(10)," "),CHAR(13)," "),FIND(" MT"," "&amp;SUBSTITUTE(SUBSTITUTE(A117,CHAR(10)," "),CHAR(13)," ")),FIND(" ",SUBSTITUTE(SUBSTITUTE(A117,CHAR(10)," "),CHAR(13)," ")&amp;" ",FIND(" MT"," "&amp;SUBSTITUTE(SUBSTITUTE(A117,CHAR(10)," "),CHAR(13)," ")))-FIND(" MT"," "&amp;SUBSTITUTE(SUBSTITUTE(A117,CHAR(10)," "),CHAR(13)," "))),"MT no encontrado"))</f>
        <v/>
      </c>
      <c r="C117" s="15" t="str">
        <f aca="false">IF(TRIM(A117)="","",IF(D117="",FALSE(),SUBSTITUTE(SUBSTITUTE(SUBSTITUTE(D117,".",""),"0",""),"-","")&lt;&gt;""))</f>
        <v/>
      </c>
      <c r="D117" s="14" t="str">
        <f aca="false">IF(TRIM(A117)="","",IFERROR(MID((" "&amp;LEFT(SUBSTITUTE(A117,CHAR(13),""),FIND(CHAR(10),SUBSTITUTE(A117,CHAR(13),"")&amp;CHAR(10))-1)),(FIND("~",SUBSTITUTE(LEFT((" "&amp;LEFT(SUBSTITUTE(A117,CHAR(13),""),FIND(CHAR(10),SUBSTITUTE(A117,CHAR(13),"")&amp;CHAR(10))-1)),FIND(".",(" "&amp;LEFT(SUBSTITUTE(A117,CHAR(13),""),FIND(CHAR(10),SUBSTITUTE(A117,CHAR(13),"")&amp;CHAR(10))-1))))," ","~",LEN(LEFT((" "&amp;LEFT(SUBSTITUTE(A117,CHAR(13),""),FIND(CHAR(10),SUBSTITUTE(A117,CHAR(13),"")&amp;CHAR(10))-1)),FIND(".",(" "&amp;LEFT(SUBSTITUTE(A117,CHAR(13),""),FIND(CHAR(10),SUBSTITUTE(A117,CHAR(13),"")&amp;CHAR(10))-1)))))-LEN(SUBSTITUTE(LEFT((" "&amp;LEFT(SUBSTITUTE(A117,CHAR(13),""),FIND(CHAR(10),SUBSTITUTE(A117,CHAR(13),"")&amp;CHAR(10))-1)),FIND(".",(" "&amp;LEFT(SUBSTITUTE(A117,CHAR(13),""),FIND(CHAR(10),SUBSTITUTE(A117,CHAR(13),"")&amp;CHAR(10))-1))))," ",""))))+1),FIND(" ",(" "&amp;LEFT(SUBSTITUTE(A117,CHAR(13),""),FIND(CHAR(10),SUBSTITUTE(A117,CHAR(13),"")&amp;CHAR(10))-1))&amp;" ",FIND(".",(" "&amp;LEFT(SUBSTITUTE(A117,CHAR(13),""),FIND(CHAR(10),SUBSTITUTE(A117,CHAR(13),"")&amp;CHAR(10))-1))))-(FIND("~",SUBSTITUTE(LEFT((" "&amp;LEFT(SUBSTITUTE(A117,CHAR(13),""),FIND(CHAR(10),SUBSTITUTE(A117,CHAR(13),"")&amp;CHAR(10))-1)),FIND(".",(" "&amp;LEFT(SUBSTITUTE(A117,CHAR(13),""),FIND(CHAR(10),SUBSTITUTE(A117,CHAR(13),"")&amp;CHAR(10))-1))))," ","~",LEN(LEFT((" "&amp;LEFT(SUBSTITUTE(A117,CHAR(13),""),FIND(CHAR(10),SUBSTITUTE(A117,CHAR(13),"")&amp;CHAR(10))-1)),FIND(".",(" "&amp;LEFT(SUBSTITUTE(A117,CHAR(13),""),FIND(CHAR(10),SUBSTITUTE(A117,CHAR(13),"")&amp;CHAR(10))-1)))))-LEN(SUBSTITUTE(LEFT((" "&amp;LEFT(SUBSTITUTE(A117,CHAR(13),""),FIND(CHAR(10),SUBSTITUTE(A117,CHAR(13),"")&amp;CHAR(10))-1)),FIND(".",(" "&amp;LEFT(SUBSTITUTE(A117,CHAR(13),""),FIND(CHAR(10),SUBSTITUTE(A117,CHAR(13),"")&amp;CHAR(10))-1))))," ",""))))+1)),""))</f>
        <v/>
      </c>
    </row>
    <row r="118" customFormat="false" ht="30" hidden="false" customHeight="true" outlineLevel="0" collapsed="false">
      <c r="A118" s="11" t="str">
        <f aca="false">IFERROR(INDEX(Pegar!$A$3:$A$1002,MATCH(114,Pegar!$B$3:$B$1002,0))&amp;IF(LEFT(INDEX(Pegar!$A$3:$A$1003,MATCH(114,Pegar!$B$3:$B$1002,0)+1),5)="DESC=",CHAR(10)&amp;INDEX(Pegar!$A$3:$A$1003,MATCH(114,Pegar!$B$3:$B$1002,0)+1),""),"")</f>
        <v/>
      </c>
      <c r="B118" s="12" t="str">
        <f aca="false">IF(TRIM(A118)="","",IFERROR(MID(SUBSTITUTE(SUBSTITUTE(A118,CHAR(10)," "),CHAR(13)," "),FIND(" MT"," "&amp;SUBSTITUTE(SUBSTITUTE(A118,CHAR(10)," "),CHAR(13)," ")),FIND(" ",SUBSTITUTE(SUBSTITUTE(A118,CHAR(10)," "),CHAR(13)," ")&amp;" ",FIND(" MT"," "&amp;SUBSTITUTE(SUBSTITUTE(A118,CHAR(10)," "),CHAR(13)," ")))-FIND(" MT"," "&amp;SUBSTITUTE(SUBSTITUTE(A118,CHAR(10)," "),CHAR(13)," "))),"MT no encontrado"))</f>
        <v/>
      </c>
      <c r="C118" s="15" t="str">
        <f aca="false">IF(TRIM(A118)="","",IF(D118="",FALSE(),SUBSTITUTE(SUBSTITUTE(SUBSTITUTE(D118,".",""),"0",""),"-","")&lt;&gt;""))</f>
        <v/>
      </c>
      <c r="D118" s="14" t="str">
        <f aca="false">IF(TRIM(A118)="","",IFERROR(MID((" "&amp;LEFT(SUBSTITUTE(A118,CHAR(13),""),FIND(CHAR(10),SUBSTITUTE(A118,CHAR(13),"")&amp;CHAR(10))-1)),(FIND("~",SUBSTITUTE(LEFT((" "&amp;LEFT(SUBSTITUTE(A118,CHAR(13),""),FIND(CHAR(10),SUBSTITUTE(A118,CHAR(13),"")&amp;CHAR(10))-1)),FIND(".",(" "&amp;LEFT(SUBSTITUTE(A118,CHAR(13),""),FIND(CHAR(10),SUBSTITUTE(A118,CHAR(13),"")&amp;CHAR(10))-1))))," ","~",LEN(LEFT((" "&amp;LEFT(SUBSTITUTE(A118,CHAR(13),""),FIND(CHAR(10),SUBSTITUTE(A118,CHAR(13),"")&amp;CHAR(10))-1)),FIND(".",(" "&amp;LEFT(SUBSTITUTE(A118,CHAR(13),""),FIND(CHAR(10),SUBSTITUTE(A118,CHAR(13),"")&amp;CHAR(10))-1)))))-LEN(SUBSTITUTE(LEFT((" "&amp;LEFT(SUBSTITUTE(A118,CHAR(13),""),FIND(CHAR(10),SUBSTITUTE(A118,CHAR(13),"")&amp;CHAR(10))-1)),FIND(".",(" "&amp;LEFT(SUBSTITUTE(A118,CHAR(13),""),FIND(CHAR(10),SUBSTITUTE(A118,CHAR(13),"")&amp;CHAR(10))-1))))," ",""))))+1),FIND(" ",(" "&amp;LEFT(SUBSTITUTE(A118,CHAR(13),""),FIND(CHAR(10),SUBSTITUTE(A118,CHAR(13),"")&amp;CHAR(10))-1))&amp;" ",FIND(".",(" "&amp;LEFT(SUBSTITUTE(A118,CHAR(13),""),FIND(CHAR(10),SUBSTITUTE(A118,CHAR(13),"")&amp;CHAR(10))-1))))-(FIND("~",SUBSTITUTE(LEFT((" "&amp;LEFT(SUBSTITUTE(A118,CHAR(13),""),FIND(CHAR(10),SUBSTITUTE(A118,CHAR(13),"")&amp;CHAR(10))-1)),FIND(".",(" "&amp;LEFT(SUBSTITUTE(A118,CHAR(13),""),FIND(CHAR(10),SUBSTITUTE(A118,CHAR(13),"")&amp;CHAR(10))-1))))," ","~",LEN(LEFT((" "&amp;LEFT(SUBSTITUTE(A118,CHAR(13),""),FIND(CHAR(10),SUBSTITUTE(A118,CHAR(13),"")&amp;CHAR(10))-1)),FIND(".",(" "&amp;LEFT(SUBSTITUTE(A118,CHAR(13),""),FIND(CHAR(10),SUBSTITUTE(A118,CHAR(13),"")&amp;CHAR(10))-1)))))-LEN(SUBSTITUTE(LEFT((" "&amp;LEFT(SUBSTITUTE(A118,CHAR(13),""),FIND(CHAR(10),SUBSTITUTE(A118,CHAR(13),"")&amp;CHAR(10))-1)),FIND(".",(" "&amp;LEFT(SUBSTITUTE(A118,CHAR(13),""),FIND(CHAR(10),SUBSTITUTE(A118,CHAR(13),"")&amp;CHAR(10))-1))))," ",""))))+1)),""))</f>
        <v/>
      </c>
    </row>
    <row r="119" customFormat="false" ht="30" hidden="false" customHeight="true" outlineLevel="0" collapsed="false">
      <c r="A119" s="11" t="str">
        <f aca="false">IFERROR(INDEX(Pegar!$A$3:$A$1002,MATCH(115,Pegar!$B$3:$B$1002,0))&amp;IF(LEFT(INDEX(Pegar!$A$3:$A$1003,MATCH(115,Pegar!$B$3:$B$1002,0)+1),5)="DESC=",CHAR(10)&amp;INDEX(Pegar!$A$3:$A$1003,MATCH(115,Pegar!$B$3:$B$1002,0)+1),""),"")</f>
        <v/>
      </c>
      <c r="B119" s="12" t="str">
        <f aca="false">IF(TRIM(A119)="","",IFERROR(MID(SUBSTITUTE(SUBSTITUTE(A119,CHAR(10)," "),CHAR(13)," "),FIND(" MT"," "&amp;SUBSTITUTE(SUBSTITUTE(A119,CHAR(10)," "),CHAR(13)," ")),FIND(" ",SUBSTITUTE(SUBSTITUTE(A119,CHAR(10)," "),CHAR(13)," ")&amp;" ",FIND(" MT"," "&amp;SUBSTITUTE(SUBSTITUTE(A119,CHAR(10)," "),CHAR(13)," ")))-FIND(" MT"," "&amp;SUBSTITUTE(SUBSTITUTE(A119,CHAR(10)," "),CHAR(13)," "))),"MT no encontrado"))</f>
        <v/>
      </c>
      <c r="C119" s="15" t="str">
        <f aca="false">IF(TRIM(A119)="","",IF(D119="",FALSE(),SUBSTITUTE(SUBSTITUTE(SUBSTITUTE(D119,".",""),"0",""),"-","")&lt;&gt;""))</f>
        <v/>
      </c>
      <c r="D119" s="14" t="str">
        <f aca="false">IF(TRIM(A119)="","",IFERROR(MID((" "&amp;LEFT(SUBSTITUTE(A119,CHAR(13),""),FIND(CHAR(10),SUBSTITUTE(A119,CHAR(13),"")&amp;CHAR(10))-1)),(FIND("~",SUBSTITUTE(LEFT((" "&amp;LEFT(SUBSTITUTE(A119,CHAR(13),""),FIND(CHAR(10),SUBSTITUTE(A119,CHAR(13),"")&amp;CHAR(10))-1)),FIND(".",(" "&amp;LEFT(SUBSTITUTE(A119,CHAR(13),""),FIND(CHAR(10),SUBSTITUTE(A119,CHAR(13),"")&amp;CHAR(10))-1))))," ","~",LEN(LEFT((" "&amp;LEFT(SUBSTITUTE(A119,CHAR(13),""),FIND(CHAR(10),SUBSTITUTE(A119,CHAR(13),"")&amp;CHAR(10))-1)),FIND(".",(" "&amp;LEFT(SUBSTITUTE(A119,CHAR(13),""),FIND(CHAR(10),SUBSTITUTE(A119,CHAR(13),"")&amp;CHAR(10))-1)))))-LEN(SUBSTITUTE(LEFT((" "&amp;LEFT(SUBSTITUTE(A119,CHAR(13),""),FIND(CHAR(10),SUBSTITUTE(A119,CHAR(13),"")&amp;CHAR(10))-1)),FIND(".",(" "&amp;LEFT(SUBSTITUTE(A119,CHAR(13),""),FIND(CHAR(10),SUBSTITUTE(A119,CHAR(13),"")&amp;CHAR(10))-1))))," ",""))))+1),FIND(" ",(" "&amp;LEFT(SUBSTITUTE(A119,CHAR(13),""),FIND(CHAR(10),SUBSTITUTE(A119,CHAR(13),"")&amp;CHAR(10))-1))&amp;" ",FIND(".",(" "&amp;LEFT(SUBSTITUTE(A119,CHAR(13),""),FIND(CHAR(10),SUBSTITUTE(A119,CHAR(13),"")&amp;CHAR(10))-1))))-(FIND("~",SUBSTITUTE(LEFT((" "&amp;LEFT(SUBSTITUTE(A119,CHAR(13),""),FIND(CHAR(10),SUBSTITUTE(A119,CHAR(13),"")&amp;CHAR(10))-1)),FIND(".",(" "&amp;LEFT(SUBSTITUTE(A119,CHAR(13),""),FIND(CHAR(10),SUBSTITUTE(A119,CHAR(13),"")&amp;CHAR(10))-1))))," ","~",LEN(LEFT((" "&amp;LEFT(SUBSTITUTE(A119,CHAR(13),""),FIND(CHAR(10),SUBSTITUTE(A119,CHAR(13),"")&amp;CHAR(10))-1)),FIND(".",(" "&amp;LEFT(SUBSTITUTE(A119,CHAR(13),""),FIND(CHAR(10),SUBSTITUTE(A119,CHAR(13),"")&amp;CHAR(10))-1)))))-LEN(SUBSTITUTE(LEFT((" "&amp;LEFT(SUBSTITUTE(A119,CHAR(13),""),FIND(CHAR(10),SUBSTITUTE(A119,CHAR(13),"")&amp;CHAR(10))-1)),FIND(".",(" "&amp;LEFT(SUBSTITUTE(A119,CHAR(13),""),FIND(CHAR(10),SUBSTITUTE(A119,CHAR(13),"")&amp;CHAR(10))-1))))," ",""))))+1)),""))</f>
        <v/>
      </c>
    </row>
    <row r="120" customFormat="false" ht="30" hidden="false" customHeight="true" outlineLevel="0" collapsed="false">
      <c r="A120" s="11" t="str">
        <f aca="false">IFERROR(INDEX(Pegar!$A$3:$A$1002,MATCH(116,Pegar!$B$3:$B$1002,0))&amp;IF(LEFT(INDEX(Pegar!$A$3:$A$1003,MATCH(116,Pegar!$B$3:$B$1002,0)+1),5)="DESC=",CHAR(10)&amp;INDEX(Pegar!$A$3:$A$1003,MATCH(116,Pegar!$B$3:$B$1002,0)+1),""),"")</f>
        <v/>
      </c>
      <c r="B120" s="12" t="str">
        <f aca="false">IF(TRIM(A120)="","",IFERROR(MID(SUBSTITUTE(SUBSTITUTE(A120,CHAR(10)," "),CHAR(13)," "),FIND(" MT"," "&amp;SUBSTITUTE(SUBSTITUTE(A120,CHAR(10)," "),CHAR(13)," ")),FIND(" ",SUBSTITUTE(SUBSTITUTE(A120,CHAR(10)," "),CHAR(13)," ")&amp;" ",FIND(" MT"," "&amp;SUBSTITUTE(SUBSTITUTE(A120,CHAR(10)," "),CHAR(13)," ")))-FIND(" MT"," "&amp;SUBSTITUTE(SUBSTITUTE(A120,CHAR(10)," "),CHAR(13)," "))),"MT no encontrado"))</f>
        <v/>
      </c>
      <c r="C120" s="15" t="str">
        <f aca="false">IF(TRIM(A120)="","",IF(D120="",FALSE(),SUBSTITUTE(SUBSTITUTE(SUBSTITUTE(D120,".",""),"0",""),"-","")&lt;&gt;""))</f>
        <v/>
      </c>
      <c r="D120" s="14" t="str">
        <f aca="false">IF(TRIM(A120)="","",IFERROR(MID((" "&amp;LEFT(SUBSTITUTE(A120,CHAR(13),""),FIND(CHAR(10),SUBSTITUTE(A120,CHAR(13),"")&amp;CHAR(10))-1)),(FIND("~",SUBSTITUTE(LEFT((" "&amp;LEFT(SUBSTITUTE(A120,CHAR(13),""),FIND(CHAR(10),SUBSTITUTE(A120,CHAR(13),"")&amp;CHAR(10))-1)),FIND(".",(" "&amp;LEFT(SUBSTITUTE(A120,CHAR(13),""),FIND(CHAR(10),SUBSTITUTE(A120,CHAR(13),"")&amp;CHAR(10))-1))))," ","~",LEN(LEFT((" "&amp;LEFT(SUBSTITUTE(A120,CHAR(13),""),FIND(CHAR(10),SUBSTITUTE(A120,CHAR(13),"")&amp;CHAR(10))-1)),FIND(".",(" "&amp;LEFT(SUBSTITUTE(A120,CHAR(13),""),FIND(CHAR(10),SUBSTITUTE(A120,CHAR(13),"")&amp;CHAR(10))-1)))))-LEN(SUBSTITUTE(LEFT((" "&amp;LEFT(SUBSTITUTE(A120,CHAR(13),""),FIND(CHAR(10),SUBSTITUTE(A120,CHAR(13),"")&amp;CHAR(10))-1)),FIND(".",(" "&amp;LEFT(SUBSTITUTE(A120,CHAR(13),""),FIND(CHAR(10),SUBSTITUTE(A120,CHAR(13),"")&amp;CHAR(10))-1))))," ",""))))+1),FIND(" ",(" "&amp;LEFT(SUBSTITUTE(A120,CHAR(13),""),FIND(CHAR(10),SUBSTITUTE(A120,CHAR(13),"")&amp;CHAR(10))-1))&amp;" ",FIND(".",(" "&amp;LEFT(SUBSTITUTE(A120,CHAR(13),""),FIND(CHAR(10),SUBSTITUTE(A120,CHAR(13),"")&amp;CHAR(10))-1))))-(FIND("~",SUBSTITUTE(LEFT((" "&amp;LEFT(SUBSTITUTE(A120,CHAR(13),""),FIND(CHAR(10),SUBSTITUTE(A120,CHAR(13),"")&amp;CHAR(10))-1)),FIND(".",(" "&amp;LEFT(SUBSTITUTE(A120,CHAR(13),""),FIND(CHAR(10),SUBSTITUTE(A120,CHAR(13),"")&amp;CHAR(10))-1))))," ","~",LEN(LEFT((" "&amp;LEFT(SUBSTITUTE(A120,CHAR(13),""),FIND(CHAR(10),SUBSTITUTE(A120,CHAR(13),"")&amp;CHAR(10))-1)),FIND(".",(" "&amp;LEFT(SUBSTITUTE(A120,CHAR(13),""),FIND(CHAR(10),SUBSTITUTE(A120,CHAR(13),"")&amp;CHAR(10))-1)))))-LEN(SUBSTITUTE(LEFT((" "&amp;LEFT(SUBSTITUTE(A120,CHAR(13),""),FIND(CHAR(10),SUBSTITUTE(A120,CHAR(13),"")&amp;CHAR(10))-1)),FIND(".",(" "&amp;LEFT(SUBSTITUTE(A120,CHAR(13),""),FIND(CHAR(10),SUBSTITUTE(A120,CHAR(13),"")&amp;CHAR(10))-1))))," ",""))))+1)),""))</f>
        <v/>
      </c>
    </row>
    <row r="121" customFormat="false" ht="30" hidden="false" customHeight="true" outlineLevel="0" collapsed="false">
      <c r="A121" s="11" t="str">
        <f aca="false">IFERROR(INDEX(Pegar!$A$3:$A$1002,MATCH(117,Pegar!$B$3:$B$1002,0))&amp;IF(LEFT(INDEX(Pegar!$A$3:$A$1003,MATCH(117,Pegar!$B$3:$B$1002,0)+1),5)="DESC=",CHAR(10)&amp;INDEX(Pegar!$A$3:$A$1003,MATCH(117,Pegar!$B$3:$B$1002,0)+1),""),"")</f>
        <v/>
      </c>
      <c r="B121" s="12" t="str">
        <f aca="false">IF(TRIM(A121)="","",IFERROR(MID(SUBSTITUTE(SUBSTITUTE(A121,CHAR(10)," "),CHAR(13)," "),FIND(" MT"," "&amp;SUBSTITUTE(SUBSTITUTE(A121,CHAR(10)," "),CHAR(13)," ")),FIND(" ",SUBSTITUTE(SUBSTITUTE(A121,CHAR(10)," "),CHAR(13)," ")&amp;" ",FIND(" MT"," "&amp;SUBSTITUTE(SUBSTITUTE(A121,CHAR(10)," "),CHAR(13)," ")))-FIND(" MT"," "&amp;SUBSTITUTE(SUBSTITUTE(A121,CHAR(10)," "),CHAR(13)," "))),"MT no encontrado"))</f>
        <v/>
      </c>
      <c r="C121" s="15" t="str">
        <f aca="false">IF(TRIM(A121)="","",IF(D121="",FALSE(),SUBSTITUTE(SUBSTITUTE(SUBSTITUTE(D121,".",""),"0",""),"-","")&lt;&gt;""))</f>
        <v/>
      </c>
      <c r="D121" s="14" t="str">
        <f aca="false">IF(TRIM(A121)="","",IFERROR(MID((" "&amp;LEFT(SUBSTITUTE(A121,CHAR(13),""),FIND(CHAR(10),SUBSTITUTE(A121,CHAR(13),"")&amp;CHAR(10))-1)),(FIND("~",SUBSTITUTE(LEFT((" "&amp;LEFT(SUBSTITUTE(A121,CHAR(13),""),FIND(CHAR(10),SUBSTITUTE(A121,CHAR(13),"")&amp;CHAR(10))-1)),FIND(".",(" "&amp;LEFT(SUBSTITUTE(A121,CHAR(13),""),FIND(CHAR(10),SUBSTITUTE(A121,CHAR(13),"")&amp;CHAR(10))-1))))," ","~",LEN(LEFT((" "&amp;LEFT(SUBSTITUTE(A121,CHAR(13),""),FIND(CHAR(10),SUBSTITUTE(A121,CHAR(13),"")&amp;CHAR(10))-1)),FIND(".",(" "&amp;LEFT(SUBSTITUTE(A121,CHAR(13),""),FIND(CHAR(10),SUBSTITUTE(A121,CHAR(13),"")&amp;CHAR(10))-1)))))-LEN(SUBSTITUTE(LEFT((" "&amp;LEFT(SUBSTITUTE(A121,CHAR(13),""),FIND(CHAR(10),SUBSTITUTE(A121,CHAR(13),"")&amp;CHAR(10))-1)),FIND(".",(" "&amp;LEFT(SUBSTITUTE(A121,CHAR(13),""),FIND(CHAR(10),SUBSTITUTE(A121,CHAR(13),"")&amp;CHAR(10))-1))))," ",""))))+1),FIND(" ",(" "&amp;LEFT(SUBSTITUTE(A121,CHAR(13),""),FIND(CHAR(10),SUBSTITUTE(A121,CHAR(13),"")&amp;CHAR(10))-1))&amp;" ",FIND(".",(" "&amp;LEFT(SUBSTITUTE(A121,CHAR(13),""),FIND(CHAR(10),SUBSTITUTE(A121,CHAR(13),"")&amp;CHAR(10))-1))))-(FIND("~",SUBSTITUTE(LEFT((" "&amp;LEFT(SUBSTITUTE(A121,CHAR(13),""),FIND(CHAR(10),SUBSTITUTE(A121,CHAR(13),"")&amp;CHAR(10))-1)),FIND(".",(" "&amp;LEFT(SUBSTITUTE(A121,CHAR(13),""),FIND(CHAR(10),SUBSTITUTE(A121,CHAR(13),"")&amp;CHAR(10))-1))))," ","~",LEN(LEFT((" "&amp;LEFT(SUBSTITUTE(A121,CHAR(13),""),FIND(CHAR(10),SUBSTITUTE(A121,CHAR(13),"")&amp;CHAR(10))-1)),FIND(".",(" "&amp;LEFT(SUBSTITUTE(A121,CHAR(13),""),FIND(CHAR(10),SUBSTITUTE(A121,CHAR(13),"")&amp;CHAR(10))-1)))))-LEN(SUBSTITUTE(LEFT((" "&amp;LEFT(SUBSTITUTE(A121,CHAR(13),""),FIND(CHAR(10),SUBSTITUTE(A121,CHAR(13),"")&amp;CHAR(10))-1)),FIND(".",(" "&amp;LEFT(SUBSTITUTE(A121,CHAR(13),""),FIND(CHAR(10),SUBSTITUTE(A121,CHAR(13),"")&amp;CHAR(10))-1))))," ",""))))+1)),""))</f>
        <v/>
      </c>
    </row>
    <row r="122" customFormat="false" ht="30" hidden="false" customHeight="true" outlineLevel="0" collapsed="false">
      <c r="A122" s="11" t="str">
        <f aca="false">IFERROR(INDEX(Pegar!$A$3:$A$1002,MATCH(118,Pegar!$B$3:$B$1002,0))&amp;IF(LEFT(INDEX(Pegar!$A$3:$A$1003,MATCH(118,Pegar!$B$3:$B$1002,0)+1),5)="DESC=",CHAR(10)&amp;INDEX(Pegar!$A$3:$A$1003,MATCH(118,Pegar!$B$3:$B$1002,0)+1),""),"")</f>
        <v/>
      </c>
      <c r="B122" s="12" t="str">
        <f aca="false">IF(TRIM(A122)="","",IFERROR(MID(SUBSTITUTE(SUBSTITUTE(A122,CHAR(10)," "),CHAR(13)," "),FIND(" MT"," "&amp;SUBSTITUTE(SUBSTITUTE(A122,CHAR(10)," "),CHAR(13)," ")),FIND(" ",SUBSTITUTE(SUBSTITUTE(A122,CHAR(10)," "),CHAR(13)," ")&amp;" ",FIND(" MT"," "&amp;SUBSTITUTE(SUBSTITUTE(A122,CHAR(10)," "),CHAR(13)," ")))-FIND(" MT"," "&amp;SUBSTITUTE(SUBSTITUTE(A122,CHAR(10)," "),CHAR(13)," "))),"MT no encontrado"))</f>
        <v/>
      </c>
      <c r="C122" s="15" t="str">
        <f aca="false">IF(TRIM(A122)="","",IF(D122="",FALSE(),SUBSTITUTE(SUBSTITUTE(SUBSTITUTE(D122,".",""),"0",""),"-","")&lt;&gt;""))</f>
        <v/>
      </c>
      <c r="D122" s="14" t="str">
        <f aca="false">IF(TRIM(A122)="","",IFERROR(MID((" "&amp;LEFT(SUBSTITUTE(A122,CHAR(13),""),FIND(CHAR(10),SUBSTITUTE(A122,CHAR(13),"")&amp;CHAR(10))-1)),(FIND("~",SUBSTITUTE(LEFT((" "&amp;LEFT(SUBSTITUTE(A122,CHAR(13),""),FIND(CHAR(10),SUBSTITUTE(A122,CHAR(13),"")&amp;CHAR(10))-1)),FIND(".",(" "&amp;LEFT(SUBSTITUTE(A122,CHAR(13),""),FIND(CHAR(10),SUBSTITUTE(A122,CHAR(13),"")&amp;CHAR(10))-1))))," ","~",LEN(LEFT((" "&amp;LEFT(SUBSTITUTE(A122,CHAR(13),""),FIND(CHAR(10),SUBSTITUTE(A122,CHAR(13),"")&amp;CHAR(10))-1)),FIND(".",(" "&amp;LEFT(SUBSTITUTE(A122,CHAR(13),""),FIND(CHAR(10),SUBSTITUTE(A122,CHAR(13),"")&amp;CHAR(10))-1)))))-LEN(SUBSTITUTE(LEFT((" "&amp;LEFT(SUBSTITUTE(A122,CHAR(13),""),FIND(CHAR(10),SUBSTITUTE(A122,CHAR(13),"")&amp;CHAR(10))-1)),FIND(".",(" "&amp;LEFT(SUBSTITUTE(A122,CHAR(13),""),FIND(CHAR(10),SUBSTITUTE(A122,CHAR(13),"")&amp;CHAR(10))-1))))," ",""))))+1),FIND(" ",(" "&amp;LEFT(SUBSTITUTE(A122,CHAR(13),""),FIND(CHAR(10),SUBSTITUTE(A122,CHAR(13),"")&amp;CHAR(10))-1))&amp;" ",FIND(".",(" "&amp;LEFT(SUBSTITUTE(A122,CHAR(13),""),FIND(CHAR(10),SUBSTITUTE(A122,CHAR(13),"")&amp;CHAR(10))-1))))-(FIND("~",SUBSTITUTE(LEFT((" "&amp;LEFT(SUBSTITUTE(A122,CHAR(13),""),FIND(CHAR(10),SUBSTITUTE(A122,CHAR(13),"")&amp;CHAR(10))-1)),FIND(".",(" "&amp;LEFT(SUBSTITUTE(A122,CHAR(13),""),FIND(CHAR(10),SUBSTITUTE(A122,CHAR(13),"")&amp;CHAR(10))-1))))," ","~",LEN(LEFT((" "&amp;LEFT(SUBSTITUTE(A122,CHAR(13),""),FIND(CHAR(10),SUBSTITUTE(A122,CHAR(13),"")&amp;CHAR(10))-1)),FIND(".",(" "&amp;LEFT(SUBSTITUTE(A122,CHAR(13),""),FIND(CHAR(10),SUBSTITUTE(A122,CHAR(13),"")&amp;CHAR(10))-1)))))-LEN(SUBSTITUTE(LEFT((" "&amp;LEFT(SUBSTITUTE(A122,CHAR(13),""),FIND(CHAR(10),SUBSTITUTE(A122,CHAR(13),"")&amp;CHAR(10))-1)),FIND(".",(" "&amp;LEFT(SUBSTITUTE(A122,CHAR(13),""),FIND(CHAR(10),SUBSTITUTE(A122,CHAR(13),"")&amp;CHAR(10))-1))))," ",""))))+1)),""))</f>
        <v/>
      </c>
    </row>
    <row r="123" customFormat="false" ht="30" hidden="false" customHeight="true" outlineLevel="0" collapsed="false">
      <c r="A123" s="11" t="str">
        <f aca="false">IFERROR(INDEX(Pegar!$A$3:$A$1002,MATCH(119,Pegar!$B$3:$B$1002,0))&amp;IF(LEFT(INDEX(Pegar!$A$3:$A$1003,MATCH(119,Pegar!$B$3:$B$1002,0)+1),5)="DESC=",CHAR(10)&amp;INDEX(Pegar!$A$3:$A$1003,MATCH(119,Pegar!$B$3:$B$1002,0)+1),""),"")</f>
        <v/>
      </c>
      <c r="B123" s="12" t="str">
        <f aca="false">IF(TRIM(A123)="","",IFERROR(MID(SUBSTITUTE(SUBSTITUTE(A123,CHAR(10)," "),CHAR(13)," "),FIND(" MT"," "&amp;SUBSTITUTE(SUBSTITUTE(A123,CHAR(10)," "),CHAR(13)," ")),FIND(" ",SUBSTITUTE(SUBSTITUTE(A123,CHAR(10)," "),CHAR(13)," ")&amp;" ",FIND(" MT"," "&amp;SUBSTITUTE(SUBSTITUTE(A123,CHAR(10)," "),CHAR(13)," ")))-FIND(" MT"," "&amp;SUBSTITUTE(SUBSTITUTE(A123,CHAR(10)," "),CHAR(13)," "))),"MT no encontrado"))</f>
        <v/>
      </c>
      <c r="C123" s="15" t="str">
        <f aca="false">IF(TRIM(A123)="","",IF(D123="",FALSE(),SUBSTITUTE(SUBSTITUTE(SUBSTITUTE(D123,".",""),"0",""),"-","")&lt;&gt;""))</f>
        <v/>
      </c>
      <c r="D123" s="14" t="str">
        <f aca="false">IF(TRIM(A123)="","",IFERROR(MID((" "&amp;LEFT(SUBSTITUTE(A123,CHAR(13),""),FIND(CHAR(10),SUBSTITUTE(A123,CHAR(13),"")&amp;CHAR(10))-1)),(FIND("~",SUBSTITUTE(LEFT((" "&amp;LEFT(SUBSTITUTE(A123,CHAR(13),""),FIND(CHAR(10),SUBSTITUTE(A123,CHAR(13),"")&amp;CHAR(10))-1)),FIND(".",(" "&amp;LEFT(SUBSTITUTE(A123,CHAR(13),""),FIND(CHAR(10),SUBSTITUTE(A123,CHAR(13),"")&amp;CHAR(10))-1))))," ","~",LEN(LEFT((" "&amp;LEFT(SUBSTITUTE(A123,CHAR(13),""),FIND(CHAR(10),SUBSTITUTE(A123,CHAR(13),"")&amp;CHAR(10))-1)),FIND(".",(" "&amp;LEFT(SUBSTITUTE(A123,CHAR(13),""),FIND(CHAR(10),SUBSTITUTE(A123,CHAR(13),"")&amp;CHAR(10))-1)))))-LEN(SUBSTITUTE(LEFT((" "&amp;LEFT(SUBSTITUTE(A123,CHAR(13),""),FIND(CHAR(10),SUBSTITUTE(A123,CHAR(13),"")&amp;CHAR(10))-1)),FIND(".",(" "&amp;LEFT(SUBSTITUTE(A123,CHAR(13),""),FIND(CHAR(10),SUBSTITUTE(A123,CHAR(13),"")&amp;CHAR(10))-1))))," ",""))))+1),FIND(" ",(" "&amp;LEFT(SUBSTITUTE(A123,CHAR(13),""),FIND(CHAR(10),SUBSTITUTE(A123,CHAR(13),"")&amp;CHAR(10))-1))&amp;" ",FIND(".",(" "&amp;LEFT(SUBSTITUTE(A123,CHAR(13),""),FIND(CHAR(10),SUBSTITUTE(A123,CHAR(13),"")&amp;CHAR(10))-1))))-(FIND("~",SUBSTITUTE(LEFT((" "&amp;LEFT(SUBSTITUTE(A123,CHAR(13),""),FIND(CHAR(10),SUBSTITUTE(A123,CHAR(13),"")&amp;CHAR(10))-1)),FIND(".",(" "&amp;LEFT(SUBSTITUTE(A123,CHAR(13),""),FIND(CHAR(10),SUBSTITUTE(A123,CHAR(13),"")&amp;CHAR(10))-1))))," ","~",LEN(LEFT((" "&amp;LEFT(SUBSTITUTE(A123,CHAR(13),""),FIND(CHAR(10),SUBSTITUTE(A123,CHAR(13),"")&amp;CHAR(10))-1)),FIND(".",(" "&amp;LEFT(SUBSTITUTE(A123,CHAR(13),""),FIND(CHAR(10),SUBSTITUTE(A123,CHAR(13),"")&amp;CHAR(10))-1)))))-LEN(SUBSTITUTE(LEFT((" "&amp;LEFT(SUBSTITUTE(A123,CHAR(13),""),FIND(CHAR(10),SUBSTITUTE(A123,CHAR(13),"")&amp;CHAR(10))-1)),FIND(".",(" "&amp;LEFT(SUBSTITUTE(A123,CHAR(13),""),FIND(CHAR(10),SUBSTITUTE(A123,CHAR(13),"")&amp;CHAR(10))-1))))," ",""))))+1)),""))</f>
        <v/>
      </c>
    </row>
    <row r="124" customFormat="false" ht="30" hidden="false" customHeight="true" outlineLevel="0" collapsed="false">
      <c r="A124" s="11" t="str">
        <f aca="false">IFERROR(INDEX(Pegar!$A$3:$A$1002,MATCH(120,Pegar!$B$3:$B$1002,0))&amp;IF(LEFT(INDEX(Pegar!$A$3:$A$1003,MATCH(120,Pegar!$B$3:$B$1002,0)+1),5)="DESC=",CHAR(10)&amp;INDEX(Pegar!$A$3:$A$1003,MATCH(120,Pegar!$B$3:$B$1002,0)+1),""),"")</f>
        <v/>
      </c>
      <c r="B124" s="12" t="str">
        <f aca="false">IF(TRIM(A124)="","",IFERROR(MID(SUBSTITUTE(SUBSTITUTE(A124,CHAR(10)," "),CHAR(13)," "),FIND(" MT"," "&amp;SUBSTITUTE(SUBSTITUTE(A124,CHAR(10)," "),CHAR(13)," ")),FIND(" ",SUBSTITUTE(SUBSTITUTE(A124,CHAR(10)," "),CHAR(13)," ")&amp;" ",FIND(" MT"," "&amp;SUBSTITUTE(SUBSTITUTE(A124,CHAR(10)," "),CHAR(13)," ")))-FIND(" MT"," "&amp;SUBSTITUTE(SUBSTITUTE(A124,CHAR(10)," "),CHAR(13)," "))),"MT no encontrado"))</f>
        <v/>
      </c>
      <c r="C124" s="15" t="str">
        <f aca="false">IF(TRIM(A124)="","",IF(D124="",FALSE(),SUBSTITUTE(SUBSTITUTE(SUBSTITUTE(D124,".",""),"0",""),"-","")&lt;&gt;""))</f>
        <v/>
      </c>
      <c r="D124" s="14" t="str">
        <f aca="false">IF(TRIM(A124)="","",IFERROR(MID((" "&amp;LEFT(SUBSTITUTE(A124,CHAR(13),""),FIND(CHAR(10),SUBSTITUTE(A124,CHAR(13),"")&amp;CHAR(10))-1)),(FIND("~",SUBSTITUTE(LEFT((" "&amp;LEFT(SUBSTITUTE(A124,CHAR(13),""),FIND(CHAR(10),SUBSTITUTE(A124,CHAR(13),"")&amp;CHAR(10))-1)),FIND(".",(" "&amp;LEFT(SUBSTITUTE(A124,CHAR(13),""),FIND(CHAR(10),SUBSTITUTE(A124,CHAR(13),"")&amp;CHAR(10))-1))))," ","~",LEN(LEFT((" "&amp;LEFT(SUBSTITUTE(A124,CHAR(13),""),FIND(CHAR(10),SUBSTITUTE(A124,CHAR(13),"")&amp;CHAR(10))-1)),FIND(".",(" "&amp;LEFT(SUBSTITUTE(A124,CHAR(13),""),FIND(CHAR(10),SUBSTITUTE(A124,CHAR(13),"")&amp;CHAR(10))-1)))))-LEN(SUBSTITUTE(LEFT((" "&amp;LEFT(SUBSTITUTE(A124,CHAR(13),""),FIND(CHAR(10),SUBSTITUTE(A124,CHAR(13),"")&amp;CHAR(10))-1)),FIND(".",(" "&amp;LEFT(SUBSTITUTE(A124,CHAR(13),""),FIND(CHAR(10),SUBSTITUTE(A124,CHAR(13),"")&amp;CHAR(10))-1))))," ",""))))+1),FIND(" ",(" "&amp;LEFT(SUBSTITUTE(A124,CHAR(13),""),FIND(CHAR(10),SUBSTITUTE(A124,CHAR(13),"")&amp;CHAR(10))-1))&amp;" ",FIND(".",(" "&amp;LEFT(SUBSTITUTE(A124,CHAR(13),""),FIND(CHAR(10),SUBSTITUTE(A124,CHAR(13),"")&amp;CHAR(10))-1))))-(FIND("~",SUBSTITUTE(LEFT((" "&amp;LEFT(SUBSTITUTE(A124,CHAR(13),""),FIND(CHAR(10),SUBSTITUTE(A124,CHAR(13),"")&amp;CHAR(10))-1)),FIND(".",(" "&amp;LEFT(SUBSTITUTE(A124,CHAR(13),""),FIND(CHAR(10),SUBSTITUTE(A124,CHAR(13),"")&amp;CHAR(10))-1))))," ","~",LEN(LEFT((" "&amp;LEFT(SUBSTITUTE(A124,CHAR(13),""),FIND(CHAR(10),SUBSTITUTE(A124,CHAR(13),"")&amp;CHAR(10))-1)),FIND(".",(" "&amp;LEFT(SUBSTITUTE(A124,CHAR(13),""),FIND(CHAR(10),SUBSTITUTE(A124,CHAR(13),"")&amp;CHAR(10))-1)))))-LEN(SUBSTITUTE(LEFT((" "&amp;LEFT(SUBSTITUTE(A124,CHAR(13),""),FIND(CHAR(10),SUBSTITUTE(A124,CHAR(13),"")&amp;CHAR(10))-1)),FIND(".",(" "&amp;LEFT(SUBSTITUTE(A124,CHAR(13),""),FIND(CHAR(10),SUBSTITUTE(A124,CHAR(13),"")&amp;CHAR(10))-1))))," ",""))))+1)),""))</f>
        <v/>
      </c>
    </row>
    <row r="125" customFormat="false" ht="30" hidden="false" customHeight="true" outlineLevel="0" collapsed="false">
      <c r="A125" s="11" t="str">
        <f aca="false">IFERROR(INDEX(Pegar!$A$3:$A$1002,MATCH(121,Pegar!$B$3:$B$1002,0))&amp;IF(LEFT(INDEX(Pegar!$A$3:$A$1003,MATCH(121,Pegar!$B$3:$B$1002,0)+1),5)="DESC=",CHAR(10)&amp;INDEX(Pegar!$A$3:$A$1003,MATCH(121,Pegar!$B$3:$B$1002,0)+1),""),"")</f>
        <v/>
      </c>
      <c r="B125" s="12" t="str">
        <f aca="false">IF(TRIM(A125)="","",IFERROR(MID(SUBSTITUTE(SUBSTITUTE(A125,CHAR(10)," "),CHAR(13)," "),FIND(" MT"," "&amp;SUBSTITUTE(SUBSTITUTE(A125,CHAR(10)," "),CHAR(13)," ")),FIND(" ",SUBSTITUTE(SUBSTITUTE(A125,CHAR(10)," "),CHAR(13)," ")&amp;" ",FIND(" MT"," "&amp;SUBSTITUTE(SUBSTITUTE(A125,CHAR(10)," "),CHAR(13)," ")))-FIND(" MT"," "&amp;SUBSTITUTE(SUBSTITUTE(A125,CHAR(10)," "),CHAR(13)," "))),"MT no encontrado"))</f>
        <v/>
      </c>
      <c r="C125" s="15" t="str">
        <f aca="false">IF(TRIM(A125)="","",IF(D125="",FALSE(),SUBSTITUTE(SUBSTITUTE(SUBSTITUTE(D125,".",""),"0",""),"-","")&lt;&gt;""))</f>
        <v/>
      </c>
      <c r="D125" s="14" t="str">
        <f aca="false">IF(TRIM(A125)="","",IFERROR(MID((" "&amp;LEFT(SUBSTITUTE(A125,CHAR(13),""),FIND(CHAR(10),SUBSTITUTE(A125,CHAR(13),"")&amp;CHAR(10))-1)),(FIND("~",SUBSTITUTE(LEFT((" "&amp;LEFT(SUBSTITUTE(A125,CHAR(13),""),FIND(CHAR(10),SUBSTITUTE(A125,CHAR(13),"")&amp;CHAR(10))-1)),FIND(".",(" "&amp;LEFT(SUBSTITUTE(A125,CHAR(13),""),FIND(CHAR(10),SUBSTITUTE(A125,CHAR(13),"")&amp;CHAR(10))-1))))," ","~",LEN(LEFT((" "&amp;LEFT(SUBSTITUTE(A125,CHAR(13),""),FIND(CHAR(10),SUBSTITUTE(A125,CHAR(13),"")&amp;CHAR(10))-1)),FIND(".",(" "&amp;LEFT(SUBSTITUTE(A125,CHAR(13),""),FIND(CHAR(10),SUBSTITUTE(A125,CHAR(13),"")&amp;CHAR(10))-1)))))-LEN(SUBSTITUTE(LEFT((" "&amp;LEFT(SUBSTITUTE(A125,CHAR(13),""),FIND(CHAR(10),SUBSTITUTE(A125,CHAR(13),"")&amp;CHAR(10))-1)),FIND(".",(" "&amp;LEFT(SUBSTITUTE(A125,CHAR(13),""),FIND(CHAR(10),SUBSTITUTE(A125,CHAR(13),"")&amp;CHAR(10))-1))))," ",""))))+1),FIND(" ",(" "&amp;LEFT(SUBSTITUTE(A125,CHAR(13),""),FIND(CHAR(10),SUBSTITUTE(A125,CHAR(13),"")&amp;CHAR(10))-1))&amp;" ",FIND(".",(" "&amp;LEFT(SUBSTITUTE(A125,CHAR(13),""),FIND(CHAR(10),SUBSTITUTE(A125,CHAR(13),"")&amp;CHAR(10))-1))))-(FIND("~",SUBSTITUTE(LEFT((" "&amp;LEFT(SUBSTITUTE(A125,CHAR(13),""),FIND(CHAR(10),SUBSTITUTE(A125,CHAR(13),"")&amp;CHAR(10))-1)),FIND(".",(" "&amp;LEFT(SUBSTITUTE(A125,CHAR(13),""),FIND(CHAR(10),SUBSTITUTE(A125,CHAR(13),"")&amp;CHAR(10))-1))))," ","~",LEN(LEFT((" "&amp;LEFT(SUBSTITUTE(A125,CHAR(13),""),FIND(CHAR(10),SUBSTITUTE(A125,CHAR(13),"")&amp;CHAR(10))-1)),FIND(".",(" "&amp;LEFT(SUBSTITUTE(A125,CHAR(13),""),FIND(CHAR(10),SUBSTITUTE(A125,CHAR(13),"")&amp;CHAR(10))-1)))))-LEN(SUBSTITUTE(LEFT((" "&amp;LEFT(SUBSTITUTE(A125,CHAR(13),""),FIND(CHAR(10),SUBSTITUTE(A125,CHAR(13),"")&amp;CHAR(10))-1)),FIND(".",(" "&amp;LEFT(SUBSTITUTE(A125,CHAR(13),""),FIND(CHAR(10),SUBSTITUTE(A125,CHAR(13),"")&amp;CHAR(10))-1))))," ",""))))+1)),""))</f>
        <v/>
      </c>
    </row>
    <row r="126" customFormat="false" ht="30" hidden="false" customHeight="true" outlineLevel="0" collapsed="false">
      <c r="A126" s="11" t="str">
        <f aca="false">IFERROR(INDEX(Pegar!$A$3:$A$1002,MATCH(122,Pegar!$B$3:$B$1002,0))&amp;IF(LEFT(INDEX(Pegar!$A$3:$A$1003,MATCH(122,Pegar!$B$3:$B$1002,0)+1),5)="DESC=",CHAR(10)&amp;INDEX(Pegar!$A$3:$A$1003,MATCH(122,Pegar!$B$3:$B$1002,0)+1),""),"")</f>
        <v/>
      </c>
      <c r="B126" s="12" t="str">
        <f aca="false">IF(TRIM(A126)="","",IFERROR(MID(SUBSTITUTE(SUBSTITUTE(A126,CHAR(10)," "),CHAR(13)," "),FIND(" MT"," "&amp;SUBSTITUTE(SUBSTITUTE(A126,CHAR(10)," "),CHAR(13)," ")),FIND(" ",SUBSTITUTE(SUBSTITUTE(A126,CHAR(10)," "),CHAR(13)," ")&amp;" ",FIND(" MT"," "&amp;SUBSTITUTE(SUBSTITUTE(A126,CHAR(10)," "),CHAR(13)," ")))-FIND(" MT"," "&amp;SUBSTITUTE(SUBSTITUTE(A126,CHAR(10)," "),CHAR(13)," "))),"MT no encontrado"))</f>
        <v/>
      </c>
      <c r="C126" s="15" t="str">
        <f aca="false">IF(TRIM(A126)="","",IF(D126="",FALSE(),SUBSTITUTE(SUBSTITUTE(SUBSTITUTE(D126,".",""),"0",""),"-","")&lt;&gt;""))</f>
        <v/>
      </c>
      <c r="D126" s="14" t="str">
        <f aca="false">IF(TRIM(A126)="","",IFERROR(MID((" "&amp;LEFT(SUBSTITUTE(A126,CHAR(13),""),FIND(CHAR(10),SUBSTITUTE(A126,CHAR(13),"")&amp;CHAR(10))-1)),(FIND("~",SUBSTITUTE(LEFT((" "&amp;LEFT(SUBSTITUTE(A126,CHAR(13),""),FIND(CHAR(10),SUBSTITUTE(A126,CHAR(13),"")&amp;CHAR(10))-1)),FIND(".",(" "&amp;LEFT(SUBSTITUTE(A126,CHAR(13),""),FIND(CHAR(10),SUBSTITUTE(A126,CHAR(13),"")&amp;CHAR(10))-1))))," ","~",LEN(LEFT((" "&amp;LEFT(SUBSTITUTE(A126,CHAR(13),""),FIND(CHAR(10),SUBSTITUTE(A126,CHAR(13),"")&amp;CHAR(10))-1)),FIND(".",(" "&amp;LEFT(SUBSTITUTE(A126,CHAR(13),""),FIND(CHAR(10),SUBSTITUTE(A126,CHAR(13),"")&amp;CHAR(10))-1)))))-LEN(SUBSTITUTE(LEFT((" "&amp;LEFT(SUBSTITUTE(A126,CHAR(13),""),FIND(CHAR(10),SUBSTITUTE(A126,CHAR(13),"")&amp;CHAR(10))-1)),FIND(".",(" "&amp;LEFT(SUBSTITUTE(A126,CHAR(13),""),FIND(CHAR(10),SUBSTITUTE(A126,CHAR(13),"")&amp;CHAR(10))-1))))," ",""))))+1),FIND(" ",(" "&amp;LEFT(SUBSTITUTE(A126,CHAR(13),""),FIND(CHAR(10),SUBSTITUTE(A126,CHAR(13),"")&amp;CHAR(10))-1))&amp;" ",FIND(".",(" "&amp;LEFT(SUBSTITUTE(A126,CHAR(13),""),FIND(CHAR(10),SUBSTITUTE(A126,CHAR(13),"")&amp;CHAR(10))-1))))-(FIND("~",SUBSTITUTE(LEFT((" "&amp;LEFT(SUBSTITUTE(A126,CHAR(13),""),FIND(CHAR(10),SUBSTITUTE(A126,CHAR(13),"")&amp;CHAR(10))-1)),FIND(".",(" "&amp;LEFT(SUBSTITUTE(A126,CHAR(13),""),FIND(CHAR(10),SUBSTITUTE(A126,CHAR(13),"")&amp;CHAR(10))-1))))," ","~",LEN(LEFT((" "&amp;LEFT(SUBSTITUTE(A126,CHAR(13),""),FIND(CHAR(10),SUBSTITUTE(A126,CHAR(13),"")&amp;CHAR(10))-1)),FIND(".",(" "&amp;LEFT(SUBSTITUTE(A126,CHAR(13),""),FIND(CHAR(10),SUBSTITUTE(A126,CHAR(13),"")&amp;CHAR(10))-1)))))-LEN(SUBSTITUTE(LEFT((" "&amp;LEFT(SUBSTITUTE(A126,CHAR(13),""),FIND(CHAR(10),SUBSTITUTE(A126,CHAR(13),"")&amp;CHAR(10))-1)),FIND(".",(" "&amp;LEFT(SUBSTITUTE(A126,CHAR(13),""),FIND(CHAR(10),SUBSTITUTE(A126,CHAR(13),"")&amp;CHAR(10))-1))))," ",""))))+1)),""))</f>
        <v/>
      </c>
    </row>
    <row r="127" customFormat="false" ht="30" hidden="false" customHeight="true" outlineLevel="0" collapsed="false">
      <c r="A127" s="11" t="str">
        <f aca="false">IFERROR(INDEX(Pegar!$A$3:$A$1002,MATCH(123,Pegar!$B$3:$B$1002,0))&amp;IF(LEFT(INDEX(Pegar!$A$3:$A$1003,MATCH(123,Pegar!$B$3:$B$1002,0)+1),5)="DESC=",CHAR(10)&amp;INDEX(Pegar!$A$3:$A$1003,MATCH(123,Pegar!$B$3:$B$1002,0)+1),""),"")</f>
        <v/>
      </c>
      <c r="B127" s="12" t="str">
        <f aca="false">IF(TRIM(A127)="","",IFERROR(MID(SUBSTITUTE(SUBSTITUTE(A127,CHAR(10)," "),CHAR(13)," "),FIND(" MT"," "&amp;SUBSTITUTE(SUBSTITUTE(A127,CHAR(10)," "),CHAR(13)," ")),FIND(" ",SUBSTITUTE(SUBSTITUTE(A127,CHAR(10)," "),CHAR(13)," ")&amp;" ",FIND(" MT"," "&amp;SUBSTITUTE(SUBSTITUTE(A127,CHAR(10)," "),CHAR(13)," ")))-FIND(" MT"," "&amp;SUBSTITUTE(SUBSTITUTE(A127,CHAR(10)," "),CHAR(13)," "))),"MT no encontrado"))</f>
        <v/>
      </c>
      <c r="C127" s="15" t="str">
        <f aca="false">IF(TRIM(A127)="","",IF(D127="",FALSE(),SUBSTITUTE(SUBSTITUTE(SUBSTITUTE(D127,".",""),"0",""),"-","")&lt;&gt;""))</f>
        <v/>
      </c>
      <c r="D127" s="14" t="str">
        <f aca="false">IF(TRIM(A127)="","",IFERROR(MID((" "&amp;LEFT(SUBSTITUTE(A127,CHAR(13),""),FIND(CHAR(10),SUBSTITUTE(A127,CHAR(13),"")&amp;CHAR(10))-1)),(FIND("~",SUBSTITUTE(LEFT((" "&amp;LEFT(SUBSTITUTE(A127,CHAR(13),""),FIND(CHAR(10),SUBSTITUTE(A127,CHAR(13),"")&amp;CHAR(10))-1)),FIND(".",(" "&amp;LEFT(SUBSTITUTE(A127,CHAR(13),""),FIND(CHAR(10),SUBSTITUTE(A127,CHAR(13),"")&amp;CHAR(10))-1))))," ","~",LEN(LEFT((" "&amp;LEFT(SUBSTITUTE(A127,CHAR(13),""),FIND(CHAR(10),SUBSTITUTE(A127,CHAR(13),"")&amp;CHAR(10))-1)),FIND(".",(" "&amp;LEFT(SUBSTITUTE(A127,CHAR(13),""),FIND(CHAR(10),SUBSTITUTE(A127,CHAR(13),"")&amp;CHAR(10))-1)))))-LEN(SUBSTITUTE(LEFT((" "&amp;LEFT(SUBSTITUTE(A127,CHAR(13),""),FIND(CHAR(10),SUBSTITUTE(A127,CHAR(13),"")&amp;CHAR(10))-1)),FIND(".",(" "&amp;LEFT(SUBSTITUTE(A127,CHAR(13),""),FIND(CHAR(10),SUBSTITUTE(A127,CHAR(13),"")&amp;CHAR(10))-1))))," ",""))))+1),FIND(" ",(" "&amp;LEFT(SUBSTITUTE(A127,CHAR(13),""),FIND(CHAR(10),SUBSTITUTE(A127,CHAR(13),"")&amp;CHAR(10))-1))&amp;" ",FIND(".",(" "&amp;LEFT(SUBSTITUTE(A127,CHAR(13),""),FIND(CHAR(10),SUBSTITUTE(A127,CHAR(13),"")&amp;CHAR(10))-1))))-(FIND("~",SUBSTITUTE(LEFT((" "&amp;LEFT(SUBSTITUTE(A127,CHAR(13),""),FIND(CHAR(10),SUBSTITUTE(A127,CHAR(13),"")&amp;CHAR(10))-1)),FIND(".",(" "&amp;LEFT(SUBSTITUTE(A127,CHAR(13),""),FIND(CHAR(10),SUBSTITUTE(A127,CHAR(13),"")&amp;CHAR(10))-1))))," ","~",LEN(LEFT((" "&amp;LEFT(SUBSTITUTE(A127,CHAR(13),""),FIND(CHAR(10),SUBSTITUTE(A127,CHAR(13),"")&amp;CHAR(10))-1)),FIND(".",(" "&amp;LEFT(SUBSTITUTE(A127,CHAR(13),""),FIND(CHAR(10),SUBSTITUTE(A127,CHAR(13),"")&amp;CHAR(10))-1)))))-LEN(SUBSTITUTE(LEFT((" "&amp;LEFT(SUBSTITUTE(A127,CHAR(13),""),FIND(CHAR(10),SUBSTITUTE(A127,CHAR(13),"")&amp;CHAR(10))-1)),FIND(".",(" "&amp;LEFT(SUBSTITUTE(A127,CHAR(13),""),FIND(CHAR(10),SUBSTITUTE(A127,CHAR(13),"")&amp;CHAR(10))-1))))," ",""))))+1)),""))</f>
        <v/>
      </c>
    </row>
    <row r="128" customFormat="false" ht="30" hidden="false" customHeight="true" outlineLevel="0" collapsed="false">
      <c r="A128" s="11" t="str">
        <f aca="false">IFERROR(INDEX(Pegar!$A$3:$A$1002,MATCH(124,Pegar!$B$3:$B$1002,0))&amp;IF(LEFT(INDEX(Pegar!$A$3:$A$1003,MATCH(124,Pegar!$B$3:$B$1002,0)+1),5)="DESC=",CHAR(10)&amp;INDEX(Pegar!$A$3:$A$1003,MATCH(124,Pegar!$B$3:$B$1002,0)+1),""),"")</f>
        <v/>
      </c>
      <c r="B128" s="12" t="str">
        <f aca="false">IF(TRIM(A128)="","",IFERROR(MID(SUBSTITUTE(SUBSTITUTE(A128,CHAR(10)," "),CHAR(13)," "),FIND(" MT"," "&amp;SUBSTITUTE(SUBSTITUTE(A128,CHAR(10)," "),CHAR(13)," ")),FIND(" ",SUBSTITUTE(SUBSTITUTE(A128,CHAR(10)," "),CHAR(13)," ")&amp;" ",FIND(" MT"," "&amp;SUBSTITUTE(SUBSTITUTE(A128,CHAR(10)," "),CHAR(13)," ")))-FIND(" MT"," "&amp;SUBSTITUTE(SUBSTITUTE(A128,CHAR(10)," "),CHAR(13)," "))),"MT no encontrado"))</f>
        <v/>
      </c>
      <c r="C128" s="15" t="str">
        <f aca="false">IF(TRIM(A128)="","",IF(D128="",FALSE(),SUBSTITUTE(SUBSTITUTE(SUBSTITUTE(D128,".",""),"0",""),"-","")&lt;&gt;""))</f>
        <v/>
      </c>
      <c r="D128" s="14" t="str">
        <f aca="false">IF(TRIM(A128)="","",IFERROR(MID((" "&amp;LEFT(SUBSTITUTE(A128,CHAR(13),""),FIND(CHAR(10),SUBSTITUTE(A128,CHAR(13),"")&amp;CHAR(10))-1)),(FIND("~",SUBSTITUTE(LEFT((" "&amp;LEFT(SUBSTITUTE(A128,CHAR(13),""),FIND(CHAR(10),SUBSTITUTE(A128,CHAR(13),"")&amp;CHAR(10))-1)),FIND(".",(" "&amp;LEFT(SUBSTITUTE(A128,CHAR(13),""),FIND(CHAR(10),SUBSTITUTE(A128,CHAR(13),"")&amp;CHAR(10))-1))))," ","~",LEN(LEFT((" "&amp;LEFT(SUBSTITUTE(A128,CHAR(13),""),FIND(CHAR(10),SUBSTITUTE(A128,CHAR(13),"")&amp;CHAR(10))-1)),FIND(".",(" "&amp;LEFT(SUBSTITUTE(A128,CHAR(13),""),FIND(CHAR(10),SUBSTITUTE(A128,CHAR(13),"")&amp;CHAR(10))-1)))))-LEN(SUBSTITUTE(LEFT((" "&amp;LEFT(SUBSTITUTE(A128,CHAR(13),""),FIND(CHAR(10),SUBSTITUTE(A128,CHAR(13),"")&amp;CHAR(10))-1)),FIND(".",(" "&amp;LEFT(SUBSTITUTE(A128,CHAR(13),""),FIND(CHAR(10),SUBSTITUTE(A128,CHAR(13),"")&amp;CHAR(10))-1))))," ",""))))+1),FIND(" ",(" "&amp;LEFT(SUBSTITUTE(A128,CHAR(13),""),FIND(CHAR(10),SUBSTITUTE(A128,CHAR(13),"")&amp;CHAR(10))-1))&amp;" ",FIND(".",(" "&amp;LEFT(SUBSTITUTE(A128,CHAR(13),""),FIND(CHAR(10),SUBSTITUTE(A128,CHAR(13),"")&amp;CHAR(10))-1))))-(FIND("~",SUBSTITUTE(LEFT((" "&amp;LEFT(SUBSTITUTE(A128,CHAR(13),""),FIND(CHAR(10),SUBSTITUTE(A128,CHAR(13),"")&amp;CHAR(10))-1)),FIND(".",(" "&amp;LEFT(SUBSTITUTE(A128,CHAR(13),""),FIND(CHAR(10),SUBSTITUTE(A128,CHAR(13),"")&amp;CHAR(10))-1))))," ","~",LEN(LEFT((" "&amp;LEFT(SUBSTITUTE(A128,CHAR(13),""),FIND(CHAR(10),SUBSTITUTE(A128,CHAR(13),"")&amp;CHAR(10))-1)),FIND(".",(" "&amp;LEFT(SUBSTITUTE(A128,CHAR(13),""),FIND(CHAR(10),SUBSTITUTE(A128,CHAR(13),"")&amp;CHAR(10))-1)))))-LEN(SUBSTITUTE(LEFT((" "&amp;LEFT(SUBSTITUTE(A128,CHAR(13),""),FIND(CHAR(10),SUBSTITUTE(A128,CHAR(13),"")&amp;CHAR(10))-1)),FIND(".",(" "&amp;LEFT(SUBSTITUTE(A128,CHAR(13),""),FIND(CHAR(10),SUBSTITUTE(A128,CHAR(13),"")&amp;CHAR(10))-1))))," ",""))))+1)),""))</f>
        <v/>
      </c>
    </row>
    <row r="129" customFormat="false" ht="30" hidden="false" customHeight="true" outlineLevel="0" collapsed="false">
      <c r="A129" s="11" t="str">
        <f aca="false">IFERROR(INDEX(Pegar!$A$3:$A$1002,MATCH(125,Pegar!$B$3:$B$1002,0))&amp;IF(LEFT(INDEX(Pegar!$A$3:$A$1003,MATCH(125,Pegar!$B$3:$B$1002,0)+1),5)="DESC=",CHAR(10)&amp;INDEX(Pegar!$A$3:$A$1003,MATCH(125,Pegar!$B$3:$B$1002,0)+1),""),"")</f>
        <v/>
      </c>
      <c r="B129" s="12" t="str">
        <f aca="false">IF(TRIM(A129)="","",IFERROR(MID(SUBSTITUTE(SUBSTITUTE(A129,CHAR(10)," "),CHAR(13)," "),FIND(" MT"," "&amp;SUBSTITUTE(SUBSTITUTE(A129,CHAR(10)," "),CHAR(13)," ")),FIND(" ",SUBSTITUTE(SUBSTITUTE(A129,CHAR(10)," "),CHAR(13)," ")&amp;" ",FIND(" MT"," "&amp;SUBSTITUTE(SUBSTITUTE(A129,CHAR(10)," "),CHAR(13)," ")))-FIND(" MT"," "&amp;SUBSTITUTE(SUBSTITUTE(A129,CHAR(10)," "),CHAR(13)," "))),"MT no encontrado"))</f>
        <v/>
      </c>
      <c r="C129" s="15" t="str">
        <f aca="false">IF(TRIM(A129)="","",IF(D129="",FALSE(),SUBSTITUTE(SUBSTITUTE(SUBSTITUTE(D129,".",""),"0",""),"-","")&lt;&gt;""))</f>
        <v/>
      </c>
      <c r="D129" s="14" t="str">
        <f aca="false">IF(TRIM(A129)="","",IFERROR(MID((" "&amp;LEFT(SUBSTITUTE(A129,CHAR(13),""),FIND(CHAR(10),SUBSTITUTE(A129,CHAR(13),"")&amp;CHAR(10))-1)),(FIND("~",SUBSTITUTE(LEFT((" "&amp;LEFT(SUBSTITUTE(A129,CHAR(13),""),FIND(CHAR(10),SUBSTITUTE(A129,CHAR(13),"")&amp;CHAR(10))-1)),FIND(".",(" "&amp;LEFT(SUBSTITUTE(A129,CHAR(13),""),FIND(CHAR(10),SUBSTITUTE(A129,CHAR(13),"")&amp;CHAR(10))-1))))," ","~",LEN(LEFT((" "&amp;LEFT(SUBSTITUTE(A129,CHAR(13),""),FIND(CHAR(10),SUBSTITUTE(A129,CHAR(13),"")&amp;CHAR(10))-1)),FIND(".",(" "&amp;LEFT(SUBSTITUTE(A129,CHAR(13),""),FIND(CHAR(10),SUBSTITUTE(A129,CHAR(13),"")&amp;CHAR(10))-1)))))-LEN(SUBSTITUTE(LEFT((" "&amp;LEFT(SUBSTITUTE(A129,CHAR(13),""),FIND(CHAR(10),SUBSTITUTE(A129,CHAR(13),"")&amp;CHAR(10))-1)),FIND(".",(" "&amp;LEFT(SUBSTITUTE(A129,CHAR(13),""),FIND(CHAR(10),SUBSTITUTE(A129,CHAR(13),"")&amp;CHAR(10))-1))))," ",""))))+1),FIND(" ",(" "&amp;LEFT(SUBSTITUTE(A129,CHAR(13),""),FIND(CHAR(10),SUBSTITUTE(A129,CHAR(13),"")&amp;CHAR(10))-1))&amp;" ",FIND(".",(" "&amp;LEFT(SUBSTITUTE(A129,CHAR(13),""),FIND(CHAR(10),SUBSTITUTE(A129,CHAR(13),"")&amp;CHAR(10))-1))))-(FIND("~",SUBSTITUTE(LEFT((" "&amp;LEFT(SUBSTITUTE(A129,CHAR(13),""),FIND(CHAR(10),SUBSTITUTE(A129,CHAR(13),"")&amp;CHAR(10))-1)),FIND(".",(" "&amp;LEFT(SUBSTITUTE(A129,CHAR(13),""),FIND(CHAR(10),SUBSTITUTE(A129,CHAR(13),"")&amp;CHAR(10))-1))))," ","~",LEN(LEFT((" "&amp;LEFT(SUBSTITUTE(A129,CHAR(13),""),FIND(CHAR(10),SUBSTITUTE(A129,CHAR(13),"")&amp;CHAR(10))-1)),FIND(".",(" "&amp;LEFT(SUBSTITUTE(A129,CHAR(13),""),FIND(CHAR(10),SUBSTITUTE(A129,CHAR(13),"")&amp;CHAR(10))-1)))))-LEN(SUBSTITUTE(LEFT((" "&amp;LEFT(SUBSTITUTE(A129,CHAR(13),""),FIND(CHAR(10),SUBSTITUTE(A129,CHAR(13),"")&amp;CHAR(10))-1)),FIND(".",(" "&amp;LEFT(SUBSTITUTE(A129,CHAR(13),""),FIND(CHAR(10),SUBSTITUTE(A129,CHAR(13),"")&amp;CHAR(10))-1))))," ",""))))+1)),""))</f>
        <v/>
      </c>
    </row>
    <row r="130" customFormat="false" ht="30" hidden="false" customHeight="true" outlineLevel="0" collapsed="false">
      <c r="A130" s="11" t="str">
        <f aca="false">IFERROR(INDEX(Pegar!$A$3:$A$1002,MATCH(126,Pegar!$B$3:$B$1002,0))&amp;IF(LEFT(INDEX(Pegar!$A$3:$A$1003,MATCH(126,Pegar!$B$3:$B$1002,0)+1),5)="DESC=",CHAR(10)&amp;INDEX(Pegar!$A$3:$A$1003,MATCH(126,Pegar!$B$3:$B$1002,0)+1),""),"")</f>
        <v/>
      </c>
      <c r="B130" s="12" t="str">
        <f aca="false">IF(TRIM(A130)="","",IFERROR(MID(SUBSTITUTE(SUBSTITUTE(A130,CHAR(10)," "),CHAR(13)," "),FIND(" MT"," "&amp;SUBSTITUTE(SUBSTITUTE(A130,CHAR(10)," "),CHAR(13)," ")),FIND(" ",SUBSTITUTE(SUBSTITUTE(A130,CHAR(10)," "),CHAR(13)," ")&amp;" ",FIND(" MT"," "&amp;SUBSTITUTE(SUBSTITUTE(A130,CHAR(10)," "),CHAR(13)," ")))-FIND(" MT"," "&amp;SUBSTITUTE(SUBSTITUTE(A130,CHAR(10)," "),CHAR(13)," "))),"MT no encontrado"))</f>
        <v/>
      </c>
      <c r="C130" s="15" t="str">
        <f aca="false">IF(TRIM(A130)="","",IF(D130="",FALSE(),SUBSTITUTE(SUBSTITUTE(SUBSTITUTE(D130,".",""),"0",""),"-","")&lt;&gt;""))</f>
        <v/>
      </c>
      <c r="D130" s="14" t="str">
        <f aca="false">IF(TRIM(A130)="","",IFERROR(MID((" "&amp;LEFT(SUBSTITUTE(A130,CHAR(13),""),FIND(CHAR(10),SUBSTITUTE(A130,CHAR(13),"")&amp;CHAR(10))-1)),(FIND("~",SUBSTITUTE(LEFT((" "&amp;LEFT(SUBSTITUTE(A130,CHAR(13),""),FIND(CHAR(10),SUBSTITUTE(A130,CHAR(13),"")&amp;CHAR(10))-1)),FIND(".",(" "&amp;LEFT(SUBSTITUTE(A130,CHAR(13),""),FIND(CHAR(10),SUBSTITUTE(A130,CHAR(13),"")&amp;CHAR(10))-1))))," ","~",LEN(LEFT((" "&amp;LEFT(SUBSTITUTE(A130,CHAR(13),""),FIND(CHAR(10),SUBSTITUTE(A130,CHAR(13),"")&amp;CHAR(10))-1)),FIND(".",(" "&amp;LEFT(SUBSTITUTE(A130,CHAR(13),""),FIND(CHAR(10),SUBSTITUTE(A130,CHAR(13),"")&amp;CHAR(10))-1)))))-LEN(SUBSTITUTE(LEFT((" "&amp;LEFT(SUBSTITUTE(A130,CHAR(13),""),FIND(CHAR(10),SUBSTITUTE(A130,CHAR(13),"")&amp;CHAR(10))-1)),FIND(".",(" "&amp;LEFT(SUBSTITUTE(A130,CHAR(13),""),FIND(CHAR(10),SUBSTITUTE(A130,CHAR(13),"")&amp;CHAR(10))-1))))," ",""))))+1),FIND(" ",(" "&amp;LEFT(SUBSTITUTE(A130,CHAR(13),""),FIND(CHAR(10),SUBSTITUTE(A130,CHAR(13),"")&amp;CHAR(10))-1))&amp;" ",FIND(".",(" "&amp;LEFT(SUBSTITUTE(A130,CHAR(13),""),FIND(CHAR(10),SUBSTITUTE(A130,CHAR(13),"")&amp;CHAR(10))-1))))-(FIND("~",SUBSTITUTE(LEFT((" "&amp;LEFT(SUBSTITUTE(A130,CHAR(13),""),FIND(CHAR(10),SUBSTITUTE(A130,CHAR(13),"")&amp;CHAR(10))-1)),FIND(".",(" "&amp;LEFT(SUBSTITUTE(A130,CHAR(13),""),FIND(CHAR(10),SUBSTITUTE(A130,CHAR(13),"")&amp;CHAR(10))-1))))," ","~",LEN(LEFT((" "&amp;LEFT(SUBSTITUTE(A130,CHAR(13),""),FIND(CHAR(10),SUBSTITUTE(A130,CHAR(13),"")&amp;CHAR(10))-1)),FIND(".",(" "&amp;LEFT(SUBSTITUTE(A130,CHAR(13),""),FIND(CHAR(10),SUBSTITUTE(A130,CHAR(13),"")&amp;CHAR(10))-1)))))-LEN(SUBSTITUTE(LEFT((" "&amp;LEFT(SUBSTITUTE(A130,CHAR(13),""),FIND(CHAR(10),SUBSTITUTE(A130,CHAR(13),"")&amp;CHAR(10))-1)),FIND(".",(" "&amp;LEFT(SUBSTITUTE(A130,CHAR(13),""),FIND(CHAR(10),SUBSTITUTE(A130,CHAR(13),"")&amp;CHAR(10))-1))))," ",""))))+1)),""))</f>
        <v/>
      </c>
    </row>
    <row r="131" customFormat="false" ht="30" hidden="false" customHeight="true" outlineLevel="0" collapsed="false">
      <c r="A131" s="11" t="str">
        <f aca="false">IFERROR(INDEX(Pegar!$A$3:$A$1002,MATCH(127,Pegar!$B$3:$B$1002,0))&amp;IF(LEFT(INDEX(Pegar!$A$3:$A$1003,MATCH(127,Pegar!$B$3:$B$1002,0)+1),5)="DESC=",CHAR(10)&amp;INDEX(Pegar!$A$3:$A$1003,MATCH(127,Pegar!$B$3:$B$1002,0)+1),""),"")</f>
        <v/>
      </c>
      <c r="B131" s="12" t="str">
        <f aca="false">IF(TRIM(A131)="","",IFERROR(MID(SUBSTITUTE(SUBSTITUTE(A131,CHAR(10)," "),CHAR(13)," "),FIND(" MT"," "&amp;SUBSTITUTE(SUBSTITUTE(A131,CHAR(10)," "),CHAR(13)," ")),FIND(" ",SUBSTITUTE(SUBSTITUTE(A131,CHAR(10)," "),CHAR(13)," ")&amp;" ",FIND(" MT"," "&amp;SUBSTITUTE(SUBSTITUTE(A131,CHAR(10)," "),CHAR(13)," ")))-FIND(" MT"," "&amp;SUBSTITUTE(SUBSTITUTE(A131,CHAR(10)," "),CHAR(13)," "))),"MT no encontrado"))</f>
        <v/>
      </c>
      <c r="C131" s="15" t="str">
        <f aca="false">IF(TRIM(A131)="","",IF(D131="",FALSE(),SUBSTITUTE(SUBSTITUTE(SUBSTITUTE(D131,".",""),"0",""),"-","")&lt;&gt;""))</f>
        <v/>
      </c>
      <c r="D131" s="14" t="str">
        <f aca="false">IF(TRIM(A131)="","",IFERROR(MID((" "&amp;LEFT(SUBSTITUTE(A131,CHAR(13),""),FIND(CHAR(10),SUBSTITUTE(A131,CHAR(13),"")&amp;CHAR(10))-1)),(FIND("~",SUBSTITUTE(LEFT((" "&amp;LEFT(SUBSTITUTE(A131,CHAR(13),""),FIND(CHAR(10),SUBSTITUTE(A131,CHAR(13),"")&amp;CHAR(10))-1)),FIND(".",(" "&amp;LEFT(SUBSTITUTE(A131,CHAR(13),""),FIND(CHAR(10),SUBSTITUTE(A131,CHAR(13),"")&amp;CHAR(10))-1))))," ","~",LEN(LEFT((" "&amp;LEFT(SUBSTITUTE(A131,CHAR(13),""),FIND(CHAR(10),SUBSTITUTE(A131,CHAR(13),"")&amp;CHAR(10))-1)),FIND(".",(" "&amp;LEFT(SUBSTITUTE(A131,CHAR(13),""),FIND(CHAR(10),SUBSTITUTE(A131,CHAR(13),"")&amp;CHAR(10))-1)))))-LEN(SUBSTITUTE(LEFT((" "&amp;LEFT(SUBSTITUTE(A131,CHAR(13),""),FIND(CHAR(10),SUBSTITUTE(A131,CHAR(13),"")&amp;CHAR(10))-1)),FIND(".",(" "&amp;LEFT(SUBSTITUTE(A131,CHAR(13),""),FIND(CHAR(10),SUBSTITUTE(A131,CHAR(13),"")&amp;CHAR(10))-1))))," ",""))))+1),FIND(" ",(" "&amp;LEFT(SUBSTITUTE(A131,CHAR(13),""),FIND(CHAR(10),SUBSTITUTE(A131,CHAR(13),"")&amp;CHAR(10))-1))&amp;" ",FIND(".",(" "&amp;LEFT(SUBSTITUTE(A131,CHAR(13),""),FIND(CHAR(10),SUBSTITUTE(A131,CHAR(13),"")&amp;CHAR(10))-1))))-(FIND("~",SUBSTITUTE(LEFT((" "&amp;LEFT(SUBSTITUTE(A131,CHAR(13),""),FIND(CHAR(10),SUBSTITUTE(A131,CHAR(13),"")&amp;CHAR(10))-1)),FIND(".",(" "&amp;LEFT(SUBSTITUTE(A131,CHAR(13),""),FIND(CHAR(10),SUBSTITUTE(A131,CHAR(13),"")&amp;CHAR(10))-1))))," ","~",LEN(LEFT((" "&amp;LEFT(SUBSTITUTE(A131,CHAR(13),""),FIND(CHAR(10),SUBSTITUTE(A131,CHAR(13),"")&amp;CHAR(10))-1)),FIND(".",(" "&amp;LEFT(SUBSTITUTE(A131,CHAR(13),""),FIND(CHAR(10),SUBSTITUTE(A131,CHAR(13),"")&amp;CHAR(10))-1)))))-LEN(SUBSTITUTE(LEFT((" "&amp;LEFT(SUBSTITUTE(A131,CHAR(13),""),FIND(CHAR(10),SUBSTITUTE(A131,CHAR(13),"")&amp;CHAR(10))-1)),FIND(".",(" "&amp;LEFT(SUBSTITUTE(A131,CHAR(13),""),FIND(CHAR(10),SUBSTITUTE(A131,CHAR(13),"")&amp;CHAR(10))-1))))," ",""))))+1)),""))</f>
        <v/>
      </c>
    </row>
    <row r="132" customFormat="false" ht="30" hidden="false" customHeight="true" outlineLevel="0" collapsed="false">
      <c r="A132" s="11" t="str">
        <f aca="false">IFERROR(INDEX(Pegar!$A$3:$A$1002,MATCH(128,Pegar!$B$3:$B$1002,0))&amp;IF(LEFT(INDEX(Pegar!$A$3:$A$1003,MATCH(128,Pegar!$B$3:$B$1002,0)+1),5)="DESC=",CHAR(10)&amp;INDEX(Pegar!$A$3:$A$1003,MATCH(128,Pegar!$B$3:$B$1002,0)+1),""),"")</f>
        <v/>
      </c>
      <c r="B132" s="12" t="str">
        <f aca="false">IF(TRIM(A132)="","",IFERROR(MID(SUBSTITUTE(SUBSTITUTE(A132,CHAR(10)," "),CHAR(13)," "),FIND(" MT"," "&amp;SUBSTITUTE(SUBSTITUTE(A132,CHAR(10)," "),CHAR(13)," ")),FIND(" ",SUBSTITUTE(SUBSTITUTE(A132,CHAR(10)," "),CHAR(13)," ")&amp;" ",FIND(" MT"," "&amp;SUBSTITUTE(SUBSTITUTE(A132,CHAR(10)," "),CHAR(13)," ")))-FIND(" MT"," "&amp;SUBSTITUTE(SUBSTITUTE(A132,CHAR(10)," "),CHAR(13)," "))),"MT no encontrado"))</f>
        <v/>
      </c>
      <c r="C132" s="15" t="str">
        <f aca="false">IF(TRIM(A132)="","",IF(D132="",FALSE(),SUBSTITUTE(SUBSTITUTE(SUBSTITUTE(D132,".",""),"0",""),"-","")&lt;&gt;""))</f>
        <v/>
      </c>
      <c r="D132" s="14" t="str">
        <f aca="false">IF(TRIM(A132)="","",IFERROR(MID((" "&amp;LEFT(SUBSTITUTE(A132,CHAR(13),""),FIND(CHAR(10),SUBSTITUTE(A132,CHAR(13),"")&amp;CHAR(10))-1)),(FIND("~",SUBSTITUTE(LEFT((" "&amp;LEFT(SUBSTITUTE(A132,CHAR(13),""),FIND(CHAR(10),SUBSTITUTE(A132,CHAR(13),"")&amp;CHAR(10))-1)),FIND(".",(" "&amp;LEFT(SUBSTITUTE(A132,CHAR(13),""),FIND(CHAR(10),SUBSTITUTE(A132,CHAR(13),"")&amp;CHAR(10))-1))))," ","~",LEN(LEFT((" "&amp;LEFT(SUBSTITUTE(A132,CHAR(13),""),FIND(CHAR(10),SUBSTITUTE(A132,CHAR(13),"")&amp;CHAR(10))-1)),FIND(".",(" "&amp;LEFT(SUBSTITUTE(A132,CHAR(13),""),FIND(CHAR(10),SUBSTITUTE(A132,CHAR(13),"")&amp;CHAR(10))-1)))))-LEN(SUBSTITUTE(LEFT((" "&amp;LEFT(SUBSTITUTE(A132,CHAR(13),""),FIND(CHAR(10),SUBSTITUTE(A132,CHAR(13),"")&amp;CHAR(10))-1)),FIND(".",(" "&amp;LEFT(SUBSTITUTE(A132,CHAR(13),""),FIND(CHAR(10),SUBSTITUTE(A132,CHAR(13),"")&amp;CHAR(10))-1))))," ",""))))+1),FIND(" ",(" "&amp;LEFT(SUBSTITUTE(A132,CHAR(13),""),FIND(CHAR(10),SUBSTITUTE(A132,CHAR(13),"")&amp;CHAR(10))-1))&amp;" ",FIND(".",(" "&amp;LEFT(SUBSTITUTE(A132,CHAR(13),""),FIND(CHAR(10),SUBSTITUTE(A132,CHAR(13),"")&amp;CHAR(10))-1))))-(FIND("~",SUBSTITUTE(LEFT((" "&amp;LEFT(SUBSTITUTE(A132,CHAR(13),""),FIND(CHAR(10),SUBSTITUTE(A132,CHAR(13),"")&amp;CHAR(10))-1)),FIND(".",(" "&amp;LEFT(SUBSTITUTE(A132,CHAR(13),""),FIND(CHAR(10),SUBSTITUTE(A132,CHAR(13),"")&amp;CHAR(10))-1))))," ","~",LEN(LEFT((" "&amp;LEFT(SUBSTITUTE(A132,CHAR(13),""),FIND(CHAR(10),SUBSTITUTE(A132,CHAR(13),"")&amp;CHAR(10))-1)),FIND(".",(" "&amp;LEFT(SUBSTITUTE(A132,CHAR(13),""),FIND(CHAR(10),SUBSTITUTE(A132,CHAR(13),"")&amp;CHAR(10))-1)))))-LEN(SUBSTITUTE(LEFT((" "&amp;LEFT(SUBSTITUTE(A132,CHAR(13),""),FIND(CHAR(10),SUBSTITUTE(A132,CHAR(13),"")&amp;CHAR(10))-1)),FIND(".",(" "&amp;LEFT(SUBSTITUTE(A132,CHAR(13),""),FIND(CHAR(10),SUBSTITUTE(A132,CHAR(13),"")&amp;CHAR(10))-1))))," ",""))))+1)),""))</f>
        <v/>
      </c>
    </row>
    <row r="133" customFormat="false" ht="30" hidden="false" customHeight="true" outlineLevel="0" collapsed="false">
      <c r="A133" s="11" t="str">
        <f aca="false">IFERROR(INDEX(Pegar!$A$3:$A$1002,MATCH(129,Pegar!$B$3:$B$1002,0))&amp;IF(LEFT(INDEX(Pegar!$A$3:$A$1003,MATCH(129,Pegar!$B$3:$B$1002,0)+1),5)="DESC=",CHAR(10)&amp;INDEX(Pegar!$A$3:$A$1003,MATCH(129,Pegar!$B$3:$B$1002,0)+1),""),"")</f>
        <v/>
      </c>
      <c r="B133" s="12" t="str">
        <f aca="false">IF(TRIM(A133)="","",IFERROR(MID(SUBSTITUTE(SUBSTITUTE(A133,CHAR(10)," "),CHAR(13)," "),FIND(" MT"," "&amp;SUBSTITUTE(SUBSTITUTE(A133,CHAR(10)," "),CHAR(13)," ")),FIND(" ",SUBSTITUTE(SUBSTITUTE(A133,CHAR(10)," "),CHAR(13)," ")&amp;" ",FIND(" MT"," "&amp;SUBSTITUTE(SUBSTITUTE(A133,CHAR(10)," "),CHAR(13)," ")))-FIND(" MT"," "&amp;SUBSTITUTE(SUBSTITUTE(A133,CHAR(10)," "),CHAR(13)," "))),"MT no encontrado"))</f>
        <v/>
      </c>
      <c r="C133" s="15" t="str">
        <f aca="false">IF(TRIM(A133)="","",IF(D133="",FALSE(),SUBSTITUTE(SUBSTITUTE(SUBSTITUTE(D133,".",""),"0",""),"-","")&lt;&gt;""))</f>
        <v/>
      </c>
      <c r="D133" s="14" t="str">
        <f aca="false">IF(TRIM(A133)="","",IFERROR(MID((" "&amp;LEFT(SUBSTITUTE(A133,CHAR(13),""),FIND(CHAR(10),SUBSTITUTE(A133,CHAR(13),"")&amp;CHAR(10))-1)),(FIND("~",SUBSTITUTE(LEFT((" "&amp;LEFT(SUBSTITUTE(A133,CHAR(13),""),FIND(CHAR(10),SUBSTITUTE(A133,CHAR(13),"")&amp;CHAR(10))-1)),FIND(".",(" "&amp;LEFT(SUBSTITUTE(A133,CHAR(13),""),FIND(CHAR(10),SUBSTITUTE(A133,CHAR(13),"")&amp;CHAR(10))-1))))," ","~",LEN(LEFT((" "&amp;LEFT(SUBSTITUTE(A133,CHAR(13),""),FIND(CHAR(10),SUBSTITUTE(A133,CHAR(13),"")&amp;CHAR(10))-1)),FIND(".",(" "&amp;LEFT(SUBSTITUTE(A133,CHAR(13),""),FIND(CHAR(10),SUBSTITUTE(A133,CHAR(13),"")&amp;CHAR(10))-1)))))-LEN(SUBSTITUTE(LEFT((" "&amp;LEFT(SUBSTITUTE(A133,CHAR(13),""),FIND(CHAR(10),SUBSTITUTE(A133,CHAR(13),"")&amp;CHAR(10))-1)),FIND(".",(" "&amp;LEFT(SUBSTITUTE(A133,CHAR(13),""),FIND(CHAR(10),SUBSTITUTE(A133,CHAR(13),"")&amp;CHAR(10))-1))))," ",""))))+1),FIND(" ",(" "&amp;LEFT(SUBSTITUTE(A133,CHAR(13),""),FIND(CHAR(10),SUBSTITUTE(A133,CHAR(13),"")&amp;CHAR(10))-1))&amp;" ",FIND(".",(" "&amp;LEFT(SUBSTITUTE(A133,CHAR(13),""),FIND(CHAR(10),SUBSTITUTE(A133,CHAR(13),"")&amp;CHAR(10))-1))))-(FIND("~",SUBSTITUTE(LEFT((" "&amp;LEFT(SUBSTITUTE(A133,CHAR(13),""),FIND(CHAR(10),SUBSTITUTE(A133,CHAR(13),"")&amp;CHAR(10))-1)),FIND(".",(" "&amp;LEFT(SUBSTITUTE(A133,CHAR(13),""),FIND(CHAR(10),SUBSTITUTE(A133,CHAR(13),"")&amp;CHAR(10))-1))))," ","~",LEN(LEFT((" "&amp;LEFT(SUBSTITUTE(A133,CHAR(13),""),FIND(CHAR(10),SUBSTITUTE(A133,CHAR(13),"")&amp;CHAR(10))-1)),FIND(".",(" "&amp;LEFT(SUBSTITUTE(A133,CHAR(13),""),FIND(CHAR(10),SUBSTITUTE(A133,CHAR(13),"")&amp;CHAR(10))-1)))))-LEN(SUBSTITUTE(LEFT((" "&amp;LEFT(SUBSTITUTE(A133,CHAR(13),""),FIND(CHAR(10),SUBSTITUTE(A133,CHAR(13),"")&amp;CHAR(10))-1)),FIND(".",(" "&amp;LEFT(SUBSTITUTE(A133,CHAR(13),""),FIND(CHAR(10),SUBSTITUTE(A133,CHAR(13),"")&amp;CHAR(10))-1))))," ",""))))+1)),""))</f>
        <v/>
      </c>
    </row>
    <row r="134" customFormat="false" ht="30" hidden="false" customHeight="true" outlineLevel="0" collapsed="false">
      <c r="A134" s="11" t="str">
        <f aca="false">IFERROR(INDEX(Pegar!$A$3:$A$1002,MATCH(130,Pegar!$B$3:$B$1002,0))&amp;IF(LEFT(INDEX(Pegar!$A$3:$A$1003,MATCH(130,Pegar!$B$3:$B$1002,0)+1),5)="DESC=",CHAR(10)&amp;INDEX(Pegar!$A$3:$A$1003,MATCH(130,Pegar!$B$3:$B$1002,0)+1),""),"")</f>
        <v/>
      </c>
      <c r="B134" s="12" t="str">
        <f aca="false">IF(TRIM(A134)="","",IFERROR(MID(SUBSTITUTE(SUBSTITUTE(A134,CHAR(10)," "),CHAR(13)," "),FIND(" MT"," "&amp;SUBSTITUTE(SUBSTITUTE(A134,CHAR(10)," "),CHAR(13)," ")),FIND(" ",SUBSTITUTE(SUBSTITUTE(A134,CHAR(10)," "),CHAR(13)," ")&amp;" ",FIND(" MT"," "&amp;SUBSTITUTE(SUBSTITUTE(A134,CHAR(10)," "),CHAR(13)," ")))-FIND(" MT"," "&amp;SUBSTITUTE(SUBSTITUTE(A134,CHAR(10)," "),CHAR(13)," "))),"MT no encontrado"))</f>
        <v/>
      </c>
      <c r="C134" s="15" t="str">
        <f aca="false">IF(TRIM(A134)="","",IF(D134="",FALSE(),SUBSTITUTE(SUBSTITUTE(SUBSTITUTE(D134,".",""),"0",""),"-","")&lt;&gt;""))</f>
        <v/>
      </c>
      <c r="D134" s="14" t="str">
        <f aca="false">IF(TRIM(A134)="","",IFERROR(MID((" "&amp;LEFT(SUBSTITUTE(A134,CHAR(13),""),FIND(CHAR(10),SUBSTITUTE(A134,CHAR(13),"")&amp;CHAR(10))-1)),(FIND("~",SUBSTITUTE(LEFT((" "&amp;LEFT(SUBSTITUTE(A134,CHAR(13),""),FIND(CHAR(10),SUBSTITUTE(A134,CHAR(13),"")&amp;CHAR(10))-1)),FIND(".",(" "&amp;LEFT(SUBSTITUTE(A134,CHAR(13),""),FIND(CHAR(10),SUBSTITUTE(A134,CHAR(13),"")&amp;CHAR(10))-1))))," ","~",LEN(LEFT((" "&amp;LEFT(SUBSTITUTE(A134,CHAR(13),""),FIND(CHAR(10),SUBSTITUTE(A134,CHAR(13),"")&amp;CHAR(10))-1)),FIND(".",(" "&amp;LEFT(SUBSTITUTE(A134,CHAR(13),""),FIND(CHAR(10),SUBSTITUTE(A134,CHAR(13),"")&amp;CHAR(10))-1)))))-LEN(SUBSTITUTE(LEFT((" "&amp;LEFT(SUBSTITUTE(A134,CHAR(13),""),FIND(CHAR(10),SUBSTITUTE(A134,CHAR(13),"")&amp;CHAR(10))-1)),FIND(".",(" "&amp;LEFT(SUBSTITUTE(A134,CHAR(13),""),FIND(CHAR(10),SUBSTITUTE(A134,CHAR(13),"")&amp;CHAR(10))-1))))," ",""))))+1),FIND(" ",(" "&amp;LEFT(SUBSTITUTE(A134,CHAR(13),""),FIND(CHAR(10),SUBSTITUTE(A134,CHAR(13),"")&amp;CHAR(10))-1))&amp;" ",FIND(".",(" "&amp;LEFT(SUBSTITUTE(A134,CHAR(13),""),FIND(CHAR(10),SUBSTITUTE(A134,CHAR(13),"")&amp;CHAR(10))-1))))-(FIND("~",SUBSTITUTE(LEFT((" "&amp;LEFT(SUBSTITUTE(A134,CHAR(13),""),FIND(CHAR(10),SUBSTITUTE(A134,CHAR(13),"")&amp;CHAR(10))-1)),FIND(".",(" "&amp;LEFT(SUBSTITUTE(A134,CHAR(13),""),FIND(CHAR(10),SUBSTITUTE(A134,CHAR(13),"")&amp;CHAR(10))-1))))," ","~",LEN(LEFT((" "&amp;LEFT(SUBSTITUTE(A134,CHAR(13),""),FIND(CHAR(10),SUBSTITUTE(A134,CHAR(13),"")&amp;CHAR(10))-1)),FIND(".",(" "&amp;LEFT(SUBSTITUTE(A134,CHAR(13),""),FIND(CHAR(10),SUBSTITUTE(A134,CHAR(13),"")&amp;CHAR(10))-1)))))-LEN(SUBSTITUTE(LEFT((" "&amp;LEFT(SUBSTITUTE(A134,CHAR(13),""),FIND(CHAR(10),SUBSTITUTE(A134,CHAR(13),"")&amp;CHAR(10))-1)),FIND(".",(" "&amp;LEFT(SUBSTITUTE(A134,CHAR(13),""),FIND(CHAR(10),SUBSTITUTE(A134,CHAR(13),"")&amp;CHAR(10))-1))))," ",""))))+1)),""))</f>
        <v/>
      </c>
    </row>
    <row r="135" customFormat="false" ht="30" hidden="false" customHeight="true" outlineLevel="0" collapsed="false">
      <c r="A135" s="11" t="str">
        <f aca="false">IFERROR(INDEX(Pegar!$A$3:$A$1002,MATCH(131,Pegar!$B$3:$B$1002,0))&amp;IF(LEFT(INDEX(Pegar!$A$3:$A$1003,MATCH(131,Pegar!$B$3:$B$1002,0)+1),5)="DESC=",CHAR(10)&amp;INDEX(Pegar!$A$3:$A$1003,MATCH(131,Pegar!$B$3:$B$1002,0)+1),""),"")</f>
        <v/>
      </c>
      <c r="B135" s="12" t="str">
        <f aca="false">IF(TRIM(A135)="","",IFERROR(MID(SUBSTITUTE(SUBSTITUTE(A135,CHAR(10)," "),CHAR(13)," "),FIND(" MT"," "&amp;SUBSTITUTE(SUBSTITUTE(A135,CHAR(10)," "),CHAR(13)," ")),FIND(" ",SUBSTITUTE(SUBSTITUTE(A135,CHAR(10)," "),CHAR(13)," ")&amp;" ",FIND(" MT"," "&amp;SUBSTITUTE(SUBSTITUTE(A135,CHAR(10)," "),CHAR(13)," ")))-FIND(" MT"," "&amp;SUBSTITUTE(SUBSTITUTE(A135,CHAR(10)," "),CHAR(13)," "))),"MT no encontrado"))</f>
        <v/>
      </c>
      <c r="C135" s="15" t="str">
        <f aca="false">IF(TRIM(A135)="","",IF(D135="",FALSE(),SUBSTITUTE(SUBSTITUTE(SUBSTITUTE(D135,".",""),"0",""),"-","")&lt;&gt;""))</f>
        <v/>
      </c>
      <c r="D135" s="14" t="str">
        <f aca="false">IF(TRIM(A135)="","",IFERROR(MID((" "&amp;LEFT(SUBSTITUTE(A135,CHAR(13),""),FIND(CHAR(10),SUBSTITUTE(A135,CHAR(13),"")&amp;CHAR(10))-1)),(FIND("~",SUBSTITUTE(LEFT((" "&amp;LEFT(SUBSTITUTE(A135,CHAR(13),""),FIND(CHAR(10),SUBSTITUTE(A135,CHAR(13),"")&amp;CHAR(10))-1)),FIND(".",(" "&amp;LEFT(SUBSTITUTE(A135,CHAR(13),""),FIND(CHAR(10),SUBSTITUTE(A135,CHAR(13),"")&amp;CHAR(10))-1))))," ","~",LEN(LEFT((" "&amp;LEFT(SUBSTITUTE(A135,CHAR(13),""),FIND(CHAR(10),SUBSTITUTE(A135,CHAR(13),"")&amp;CHAR(10))-1)),FIND(".",(" "&amp;LEFT(SUBSTITUTE(A135,CHAR(13),""),FIND(CHAR(10),SUBSTITUTE(A135,CHAR(13),"")&amp;CHAR(10))-1)))))-LEN(SUBSTITUTE(LEFT((" "&amp;LEFT(SUBSTITUTE(A135,CHAR(13),""),FIND(CHAR(10),SUBSTITUTE(A135,CHAR(13),"")&amp;CHAR(10))-1)),FIND(".",(" "&amp;LEFT(SUBSTITUTE(A135,CHAR(13),""),FIND(CHAR(10),SUBSTITUTE(A135,CHAR(13),"")&amp;CHAR(10))-1))))," ",""))))+1),FIND(" ",(" "&amp;LEFT(SUBSTITUTE(A135,CHAR(13),""),FIND(CHAR(10),SUBSTITUTE(A135,CHAR(13),"")&amp;CHAR(10))-1))&amp;" ",FIND(".",(" "&amp;LEFT(SUBSTITUTE(A135,CHAR(13),""),FIND(CHAR(10),SUBSTITUTE(A135,CHAR(13),"")&amp;CHAR(10))-1))))-(FIND("~",SUBSTITUTE(LEFT((" "&amp;LEFT(SUBSTITUTE(A135,CHAR(13),""),FIND(CHAR(10),SUBSTITUTE(A135,CHAR(13),"")&amp;CHAR(10))-1)),FIND(".",(" "&amp;LEFT(SUBSTITUTE(A135,CHAR(13),""),FIND(CHAR(10),SUBSTITUTE(A135,CHAR(13),"")&amp;CHAR(10))-1))))," ","~",LEN(LEFT((" "&amp;LEFT(SUBSTITUTE(A135,CHAR(13),""),FIND(CHAR(10),SUBSTITUTE(A135,CHAR(13),"")&amp;CHAR(10))-1)),FIND(".",(" "&amp;LEFT(SUBSTITUTE(A135,CHAR(13),""),FIND(CHAR(10),SUBSTITUTE(A135,CHAR(13),"")&amp;CHAR(10))-1)))))-LEN(SUBSTITUTE(LEFT((" "&amp;LEFT(SUBSTITUTE(A135,CHAR(13),""),FIND(CHAR(10),SUBSTITUTE(A135,CHAR(13),"")&amp;CHAR(10))-1)),FIND(".",(" "&amp;LEFT(SUBSTITUTE(A135,CHAR(13),""),FIND(CHAR(10),SUBSTITUTE(A135,CHAR(13),"")&amp;CHAR(10))-1))))," ",""))))+1)),""))</f>
        <v/>
      </c>
    </row>
    <row r="136" customFormat="false" ht="30" hidden="false" customHeight="true" outlineLevel="0" collapsed="false">
      <c r="A136" s="11" t="str">
        <f aca="false">IFERROR(INDEX(Pegar!$A$3:$A$1002,MATCH(132,Pegar!$B$3:$B$1002,0))&amp;IF(LEFT(INDEX(Pegar!$A$3:$A$1003,MATCH(132,Pegar!$B$3:$B$1002,0)+1),5)="DESC=",CHAR(10)&amp;INDEX(Pegar!$A$3:$A$1003,MATCH(132,Pegar!$B$3:$B$1002,0)+1),""),"")</f>
        <v/>
      </c>
      <c r="B136" s="12" t="str">
        <f aca="false">IF(TRIM(A136)="","",IFERROR(MID(SUBSTITUTE(SUBSTITUTE(A136,CHAR(10)," "),CHAR(13)," "),FIND(" MT"," "&amp;SUBSTITUTE(SUBSTITUTE(A136,CHAR(10)," "),CHAR(13)," ")),FIND(" ",SUBSTITUTE(SUBSTITUTE(A136,CHAR(10)," "),CHAR(13)," ")&amp;" ",FIND(" MT"," "&amp;SUBSTITUTE(SUBSTITUTE(A136,CHAR(10)," "),CHAR(13)," ")))-FIND(" MT"," "&amp;SUBSTITUTE(SUBSTITUTE(A136,CHAR(10)," "),CHAR(13)," "))),"MT no encontrado"))</f>
        <v/>
      </c>
      <c r="C136" s="15" t="str">
        <f aca="false">IF(TRIM(A136)="","",IF(D136="",FALSE(),SUBSTITUTE(SUBSTITUTE(SUBSTITUTE(D136,".",""),"0",""),"-","")&lt;&gt;""))</f>
        <v/>
      </c>
      <c r="D136" s="14" t="str">
        <f aca="false">IF(TRIM(A136)="","",IFERROR(MID((" "&amp;LEFT(SUBSTITUTE(A136,CHAR(13),""),FIND(CHAR(10),SUBSTITUTE(A136,CHAR(13),"")&amp;CHAR(10))-1)),(FIND("~",SUBSTITUTE(LEFT((" "&amp;LEFT(SUBSTITUTE(A136,CHAR(13),""),FIND(CHAR(10),SUBSTITUTE(A136,CHAR(13),"")&amp;CHAR(10))-1)),FIND(".",(" "&amp;LEFT(SUBSTITUTE(A136,CHAR(13),""),FIND(CHAR(10),SUBSTITUTE(A136,CHAR(13),"")&amp;CHAR(10))-1))))," ","~",LEN(LEFT((" "&amp;LEFT(SUBSTITUTE(A136,CHAR(13),""),FIND(CHAR(10),SUBSTITUTE(A136,CHAR(13),"")&amp;CHAR(10))-1)),FIND(".",(" "&amp;LEFT(SUBSTITUTE(A136,CHAR(13),""),FIND(CHAR(10),SUBSTITUTE(A136,CHAR(13),"")&amp;CHAR(10))-1)))))-LEN(SUBSTITUTE(LEFT((" "&amp;LEFT(SUBSTITUTE(A136,CHAR(13),""),FIND(CHAR(10),SUBSTITUTE(A136,CHAR(13),"")&amp;CHAR(10))-1)),FIND(".",(" "&amp;LEFT(SUBSTITUTE(A136,CHAR(13),""),FIND(CHAR(10),SUBSTITUTE(A136,CHAR(13),"")&amp;CHAR(10))-1))))," ",""))))+1),FIND(" ",(" "&amp;LEFT(SUBSTITUTE(A136,CHAR(13),""),FIND(CHAR(10),SUBSTITUTE(A136,CHAR(13),"")&amp;CHAR(10))-1))&amp;" ",FIND(".",(" "&amp;LEFT(SUBSTITUTE(A136,CHAR(13),""),FIND(CHAR(10),SUBSTITUTE(A136,CHAR(13),"")&amp;CHAR(10))-1))))-(FIND("~",SUBSTITUTE(LEFT((" "&amp;LEFT(SUBSTITUTE(A136,CHAR(13),""),FIND(CHAR(10),SUBSTITUTE(A136,CHAR(13),"")&amp;CHAR(10))-1)),FIND(".",(" "&amp;LEFT(SUBSTITUTE(A136,CHAR(13),""),FIND(CHAR(10),SUBSTITUTE(A136,CHAR(13),"")&amp;CHAR(10))-1))))," ","~",LEN(LEFT((" "&amp;LEFT(SUBSTITUTE(A136,CHAR(13),""),FIND(CHAR(10),SUBSTITUTE(A136,CHAR(13),"")&amp;CHAR(10))-1)),FIND(".",(" "&amp;LEFT(SUBSTITUTE(A136,CHAR(13),""),FIND(CHAR(10),SUBSTITUTE(A136,CHAR(13),"")&amp;CHAR(10))-1)))))-LEN(SUBSTITUTE(LEFT((" "&amp;LEFT(SUBSTITUTE(A136,CHAR(13),""),FIND(CHAR(10),SUBSTITUTE(A136,CHAR(13),"")&amp;CHAR(10))-1)),FIND(".",(" "&amp;LEFT(SUBSTITUTE(A136,CHAR(13),""),FIND(CHAR(10),SUBSTITUTE(A136,CHAR(13),"")&amp;CHAR(10))-1))))," ",""))))+1)),""))</f>
        <v/>
      </c>
    </row>
    <row r="137" customFormat="false" ht="30" hidden="false" customHeight="true" outlineLevel="0" collapsed="false">
      <c r="A137" s="11" t="str">
        <f aca="false">IFERROR(INDEX(Pegar!$A$3:$A$1002,MATCH(133,Pegar!$B$3:$B$1002,0))&amp;IF(LEFT(INDEX(Pegar!$A$3:$A$1003,MATCH(133,Pegar!$B$3:$B$1002,0)+1),5)="DESC=",CHAR(10)&amp;INDEX(Pegar!$A$3:$A$1003,MATCH(133,Pegar!$B$3:$B$1002,0)+1),""),"")</f>
        <v/>
      </c>
      <c r="B137" s="12" t="str">
        <f aca="false">IF(TRIM(A137)="","",IFERROR(MID(SUBSTITUTE(SUBSTITUTE(A137,CHAR(10)," "),CHAR(13)," "),FIND(" MT"," "&amp;SUBSTITUTE(SUBSTITUTE(A137,CHAR(10)," "),CHAR(13)," ")),FIND(" ",SUBSTITUTE(SUBSTITUTE(A137,CHAR(10)," "),CHAR(13)," ")&amp;" ",FIND(" MT"," "&amp;SUBSTITUTE(SUBSTITUTE(A137,CHAR(10)," "),CHAR(13)," ")))-FIND(" MT"," "&amp;SUBSTITUTE(SUBSTITUTE(A137,CHAR(10)," "),CHAR(13)," "))),"MT no encontrado"))</f>
        <v/>
      </c>
      <c r="C137" s="15" t="str">
        <f aca="false">IF(TRIM(A137)="","",IF(D137="",FALSE(),SUBSTITUTE(SUBSTITUTE(SUBSTITUTE(D137,".",""),"0",""),"-","")&lt;&gt;""))</f>
        <v/>
      </c>
      <c r="D137" s="14" t="str">
        <f aca="false">IF(TRIM(A137)="","",IFERROR(MID((" "&amp;LEFT(SUBSTITUTE(A137,CHAR(13),""),FIND(CHAR(10),SUBSTITUTE(A137,CHAR(13),"")&amp;CHAR(10))-1)),(FIND("~",SUBSTITUTE(LEFT((" "&amp;LEFT(SUBSTITUTE(A137,CHAR(13),""),FIND(CHAR(10),SUBSTITUTE(A137,CHAR(13),"")&amp;CHAR(10))-1)),FIND(".",(" "&amp;LEFT(SUBSTITUTE(A137,CHAR(13),""),FIND(CHAR(10),SUBSTITUTE(A137,CHAR(13),"")&amp;CHAR(10))-1))))," ","~",LEN(LEFT((" "&amp;LEFT(SUBSTITUTE(A137,CHAR(13),""),FIND(CHAR(10),SUBSTITUTE(A137,CHAR(13),"")&amp;CHAR(10))-1)),FIND(".",(" "&amp;LEFT(SUBSTITUTE(A137,CHAR(13),""),FIND(CHAR(10),SUBSTITUTE(A137,CHAR(13),"")&amp;CHAR(10))-1)))))-LEN(SUBSTITUTE(LEFT((" "&amp;LEFT(SUBSTITUTE(A137,CHAR(13),""),FIND(CHAR(10),SUBSTITUTE(A137,CHAR(13),"")&amp;CHAR(10))-1)),FIND(".",(" "&amp;LEFT(SUBSTITUTE(A137,CHAR(13),""),FIND(CHAR(10),SUBSTITUTE(A137,CHAR(13),"")&amp;CHAR(10))-1))))," ",""))))+1),FIND(" ",(" "&amp;LEFT(SUBSTITUTE(A137,CHAR(13),""),FIND(CHAR(10),SUBSTITUTE(A137,CHAR(13),"")&amp;CHAR(10))-1))&amp;" ",FIND(".",(" "&amp;LEFT(SUBSTITUTE(A137,CHAR(13),""),FIND(CHAR(10),SUBSTITUTE(A137,CHAR(13),"")&amp;CHAR(10))-1))))-(FIND("~",SUBSTITUTE(LEFT((" "&amp;LEFT(SUBSTITUTE(A137,CHAR(13),""),FIND(CHAR(10),SUBSTITUTE(A137,CHAR(13),"")&amp;CHAR(10))-1)),FIND(".",(" "&amp;LEFT(SUBSTITUTE(A137,CHAR(13),""),FIND(CHAR(10),SUBSTITUTE(A137,CHAR(13),"")&amp;CHAR(10))-1))))," ","~",LEN(LEFT((" "&amp;LEFT(SUBSTITUTE(A137,CHAR(13),""),FIND(CHAR(10),SUBSTITUTE(A137,CHAR(13),"")&amp;CHAR(10))-1)),FIND(".",(" "&amp;LEFT(SUBSTITUTE(A137,CHAR(13),""),FIND(CHAR(10),SUBSTITUTE(A137,CHAR(13),"")&amp;CHAR(10))-1)))))-LEN(SUBSTITUTE(LEFT((" "&amp;LEFT(SUBSTITUTE(A137,CHAR(13),""),FIND(CHAR(10),SUBSTITUTE(A137,CHAR(13),"")&amp;CHAR(10))-1)),FIND(".",(" "&amp;LEFT(SUBSTITUTE(A137,CHAR(13),""),FIND(CHAR(10),SUBSTITUTE(A137,CHAR(13),"")&amp;CHAR(10))-1))))," ",""))))+1)),""))</f>
        <v/>
      </c>
    </row>
    <row r="138" customFormat="false" ht="30" hidden="false" customHeight="true" outlineLevel="0" collapsed="false">
      <c r="A138" s="11" t="str">
        <f aca="false">IFERROR(INDEX(Pegar!$A$3:$A$1002,MATCH(134,Pegar!$B$3:$B$1002,0))&amp;IF(LEFT(INDEX(Pegar!$A$3:$A$1003,MATCH(134,Pegar!$B$3:$B$1002,0)+1),5)="DESC=",CHAR(10)&amp;INDEX(Pegar!$A$3:$A$1003,MATCH(134,Pegar!$B$3:$B$1002,0)+1),""),"")</f>
        <v/>
      </c>
      <c r="B138" s="12" t="str">
        <f aca="false">IF(TRIM(A138)="","",IFERROR(MID(SUBSTITUTE(SUBSTITUTE(A138,CHAR(10)," "),CHAR(13)," "),FIND(" MT"," "&amp;SUBSTITUTE(SUBSTITUTE(A138,CHAR(10)," "),CHAR(13)," ")),FIND(" ",SUBSTITUTE(SUBSTITUTE(A138,CHAR(10)," "),CHAR(13)," ")&amp;" ",FIND(" MT"," "&amp;SUBSTITUTE(SUBSTITUTE(A138,CHAR(10)," "),CHAR(13)," ")))-FIND(" MT"," "&amp;SUBSTITUTE(SUBSTITUTE(A138,CHAR(10)," "),CHAR(13)," "))),"MT no encontrado"))</f>
        <v/>
      </c>
      <c r="C138" s="15" t="str">
        <f aca="false">IF(TRIM(A138)="","",IF(D138="",FALSE(),SUBSTITUTE(SUBSTITUTE(SUBSTITUTE(D138,".",""),"0",""),"-","")&lt;&gt;""))</f>
        <v/>
      </c>
      <c r="D138" s="14" t="str">
        <f aca="false">IF(TRIM(A138)="","",IFERROR(MID((" "&amp;LEFT(SUBSTITUTE(A138,CHAR(13),""),FIND(CHAR(10),SUBSTITUTE(A138,CHAR(13),"")&amp;CHAR(10))-1)),(FIND("~",SUBSTITUTE(LEFT((" "&amp;LEFT(SUBSTITUTE(A138,CHAR(13),""),FIND(CHAR(10),SUBSTITUTE(A138,CHAR(13),"")&amp;CHAR(10))-1)),FIND(".",(" "&amp;LEFT(SUBSTITUTE(A138,CHAR(13),""),FIND(CHAR(10),SUBSTITUTE(A138,CHAR(13),"")&amp;CHAR(10))-1))))," ","~",LEN(LEFT((" "&amp;LEFT(SUBSTITUTE(A138,CHAR(13),""),FIND(CHAR(10),SUBSTITUTE(A138,CHAR(13),"")&amp;CHAR(10))-1)),FIND(".",(" "&amp;LEFT(SUBSTITUTE(A138,CHAR(13),""),FIND(CHAR(10),SUBSTITUTE(A138,CHAR(13),"")&amp;CHAR(10))-1)))))-LEN(SUBSTITUTE(LEFT((" "&amp;LEFT(SUBSTITUTE(A138,CHAR(13),""),FIND(CHAR(10),SUBSTITUTE(A138,CHAR(13),"")&amp;CHAR(10))-1)),FIND(".",(" "&amp;LEFT(SUBSTITUTE(A138,CHAR(13),""),FIND(CHAR(10),SUBSTITUTE(A138,CHAR(13),"")&amp;CHAR(10))-1))))," ",""))))+1),FIND(" ",(" "&amp;LEFT(SUBSTITUTE(A138,CHAR(13),""),FIND(CHAR(10),SUBSTITUTE(A138,CHAR(13),"")&amp;CHAR(10))-1))&amp;" ",FIND(".",(" "&amp;LEFT(SUBSTITUTE(A138,CHAR(13),""),FIND(CHAR(10),SUBSTITUTE(A138,CHAR(13),"")&amp;CHAR(10))-1))))-(FIND("~",SUBSTITUTE(LEFT((" "&amp;LEFT(SUBSTITUTE(A138,CHAR(13),""),FIND(CHAR(10),SUBSTITUTE(A138,CHAR(13),"")&amp;CHAR(10))-1)),FIND(".",(" "&amp;LEFT(SUBSTITUTE(A138,CHAR(13),""),FIND(CHAR(10),SUBSTITUTE(A138,CHAR(13),"")&amp;CHAR(10))-1))))," ","~",LEN(LEFT((" "&amp;LEFT(SUBSTITUTE(A138,CHAR(13),""),FIND(CHAR(10),SUBSTITUTE(A138,CHAR(13),"")&amp;CHAR(10))-1)),FIND(".",(" "&amp;LEFT(SUBSTITUTE(A138,CHAR(13),""),FIND(CHAR(10),SUBSTITUTE(A138,CHAR(13),"")&amp;CHAR(10))-1)))))-LEN(SUBSTITUTE(LEFT((" "&amp;LEFT(SUBSTITUTE(A138,CHAR(13),""),FIND(CHAR(10),SUBSTITUTE(A138,CHAR(13),"")&amp;CHAR(10))-1)),FIND(".",(" "&amp;LEFT(SUBSTITUTE(A138,CHAR(13),""),FIND(CHAR(10),SUBSTITUTE(A138,CHAR(13),"")&amp;CHAR(10))-1))))," ",""))))+1)),""))</f>
        <v/>
      </c>
    </row>
    <row r="139" customFormat="false" ht="30" hidden="false" customHeight="true" outlineLevel="0" collapsed="false">
      <c r="A139" s="11" t="str">
        <f aca="false">IFERROR(INDEX(Pegar!$A$3:$A$1002,MATCH(135,Pegar!$B$3:$B$1002,0))&amp;IF(LEFT(INDEX(Pegar!$A$3:$A$1003,MATCH(135,Pegar!$B$3:$B$1002,0)+1),5)="DESC=",CHAR(10)&amp;INDEX(Pegar!$A$3:$A$1003,MATCH(135,Pegar!$B$3:$B$1002,0)+1),""),"")</f>
        <v/>
      </c>
      <c r="B139" s="12" t="str">
        <f aca="false">IF(TRIM(A139)="","",IFERROR(MID(SUBSTITUTE(SUBSTITUTE(A139,CHAR(10)," "),CHAR(13)," "),FIND(" MT"," "&amp;SUBSTITUTE(SUBSTITUTE(A139,CHAR(10)," "),CHAR(13)," ")),FIND(" ",SUBSTITUTE(SUBSTITUTE(A139,CHAR(10)," "),CHAR(13)," ")&amp;" ",FIND(" MT"," "&amp;SUBSTITUTE(SUBSTITUTE(A139,CHAR(10)," "),CHAR(13)," ")))-FIND(" MT"," "&amp;SUBSTITUTE(SUBSTITUTE(A139,CHAR(10)," "),CHAR(13)," "))),"MT no encontrado"))</f>
        <v/>
      </c>
      <c r="C139" s="15" t="str">
        <f aca="false">IF(TRIM(A139)="","",IF(D139="",FALSE(),SUBSTITUTE(SUBSTITUTE(SUBSTITUTE(D139,".",""),"0",""),"-","")&lt;&gt;""))</f>
        <v/>
      </c>
      <c r="D139" s="14" t="str">
        <f aca="false">IF(TRIM(A139)="","",IFERROR(MID((" "&amp;LEFT(SUBSTITUTE(A139,CHAR(13),""),FIND(CHAR(10),SUBSTITUTE(A139,CHAR(13),"")&amp;CHAR(10))-1)),(FIND("~",SUBSTITUTE(LEFT((" "&amp;LEFT(SUBSTITUTE(A139,CHAR(13),""),FIND(CHAR(10),SUBSTITUTE(A139,CHAR(13),"")&amp;CHAR(10))-1)),FIND(".",(" "&amp;LEFT(SUBSTITUTE(A139,CHAR(13),""),FIND(CHAR(10),SUBSTITUTE(A139,CHAR(13),"")&amp;CHAR(10))-1))))," ","~",LEN(LEFT((" "&amp;LEFT(SUBSTITUTE(A139,CHAR(13),""),FIND(CHAR(10),SUBSTITUTE(A139,CHAR(13),"")&amp;CHAR(10))-1)),FIND(".",(" "&amp;LEFT(SUBSTITUTE(A139,CHAR(13),""),FIND(CHAR(10),SUBSTITUTE(A139,CHAR(13),"")&amp;CHAR(10))-1)))))-LEN(SUBSTITUTE(LEFT((" "&amp;LEFT(SUBSTITUTE(A139,CHAR(13),""),FIND(CHAR(10),SUBSTITUTE(A139,CHAR(13),"")&amp;CHAR(10))-1)),FIND(".",(" "&amp;LEFT(SUBSTITUTE(A139,CHAR(13),""),FIND(CHAR(10),SUBSTITUTE(A139,CHAR(13),"")&amp;CHAR(10))-1))))," ",""))))+1),FIND(" ",(" "&amp;LEFT(SUBSTITUTE(A139,CHAR(13),""),FIND(CHAR(10),SUBSTITUTE(A139,CHAR(13),"")&amp;CHAR(10))-1))&amp;" ",FIND(".",(" "&amp;LEFT(SUBSTITUTE(A139,CHAR(13),""),FIND(CHAR(10),SUBSTITUTE(A139,CHAR(13),"")&amp;CHAR(10))-1))))-(FIND("~",SUBSTITUTE(LEFT((" "&amp;LEFT(SUBSTITUTE(A139,CHAR(13),""),FIND(CHAR(10),SUBSTITUTE(A139,CHAR(13),"")&amp;CHAR(10))-1)),FIND(".",(" "&amp;LEFT(SUBSTITUTE(A139,CHAR(13),""),FIND(CHAR(10),SUBSTITUTE(A139,CHAR(13),"")&amp;CHAR(10))-1))))," ","~",LEN(LEFT((" "&amp;LEFT(SUBSTITUTE(A139,CHAR(13),""),FIND(CHAR(10),SUBSTITUTE(A139,CHAR(13),"")&amp;CHAR(10))-1)),FIND(".",(" "&amp;LEFT(SUBSTITUTE(A139,CHAR(13),""),FIND(CHAR(10),SUBSTITUTE(A139,CHAR(13),"")&amp;CHAR(10))-1)))))-LEN(SUBSTITUTE(LEFT((" "&amp;LEFT(SUBSTITUTE(A139,CHAR(13),""),FIND(CHAR(10),SUBSTITUTE(A139,CHAR(13),"")&amp;CHAR(10))-1)),FIND(".",(" "&amp;LEFT(SUBSTITUTE(A139,CHAR(13),""),FIND(CHAR(10),SUBSTITUTE(A139,CHAR(13),"")&amp;CHAR(10))-1))))," ",""))))+1)),""))</f>
        <v/>
      </c>
    </row>
    <row r="140" customFormat="false" ht="30" hidden="false" customHeight="true" outlineLevel="0" collapsed="false">
      <c r="A140" s="11" t="str">
        <f aca="false">IFERROR(INDEX(Pegar!$A$3:$A$1002,MATCH(136,Pegar!$B$3:$B$1002,0))&amp;IF(LEFT(INDEX(Pegar!$A$3:$A$1003,MATCH(136,Pegar!$B$3:$B$1002,0)+1),5)="DESC=",CHAR(10)&amp;INDEX(Pegar!$A$3:$A$1003,MATCH(136,Pegar!$B$3:$B$1002,0)+1),""),"")</f>
        <v/>
      </c>
      <c r="B140" s="12" t="str">
        <f aca="false">IF(TRIM(A140)="","",IFERROR(MID(SUBSTITUTE(SUBSTITUTE(A140,CHAR(10)," "),CHAR(13)," "),FIND(" MT"," "&amp;SUBSTITUTE(SUBSTITUTE(A140,CHAR(10)," "),CHAR(13)," ")),FIND(" ",SUBSTITUTE(SUBSTITUTE(A140,CHAR(10)," "),CHAR(13)," ")&amp;" ",FIND(" MT"," "&amp;SUBSTITUTE(SUBSTITUTE(A140,CHAR(10)," "),CHAR(13)," ")))-FIND(" MT"," "&amp;SUBSTITUTE(SUBSTITUTE(A140,CHAR(10)," "),CHAR(13)," "))),"MT no encontrado"))</f>
        <v/>
      </c>
      <c r="C140" s="15" t="str">
        <f aca="false">IF(TRIM(A140)="","",IF(D140="",FALSE(),SUBSTITUTE(SUBSTITUTE(SUBSTITUTE(D140,".",""),"0",""),"-","")&lt;&gt;""))</f>
        <v/>
      </c>
      <c r="D140" s="14" t="str">
        <f aca="false">IF(TRIM(A140)="","",IFERROR(MID((" "&amp;LEFT(SUBSTITUTE(A140,CHAR(13),""),FIND(CHAR(10),SUBSTITUTE(A140,CHAR(13),"")&amp;CHAR(10))-1)),(FIND("~",SUBSTITUTE(LEFT((" "&amp;LEFT(SUBSTITUTE(A140,CHAR(13),""),FIND(CHAR(10),SUBSTITUTE(A140,CHAR(13),"")&amp;CHAR(10))-1)),FIND(".",(" "&amp;LEFT(SUBSTITUTE(A140,CHAR(13),""),FIND(CHAR(10),SUBSTITUTE(A140,CHAR(13),"")&amp;CHAR(10))-1))))," ","~",LEN(LEFT((" "&amp;LEFT(SUBSTITUTE(A140,CHAR(13),""),FIND(CHAR(10),SUBSTITUTE(A140,CHAR(13),"")&amp;CHAR(10))-1)),FIND(".",(" "&amp;LEFT(SUBSTITUTE(A140,CHAR(13),""),FIND(CHAR(10),SUBSTITUTE(A140,CHAR(13),"")&amp;CHAR(10))-1)))))-LEN(SUBSTITUTE(LEFT((" "&amp;LEFT(SUBSTITUTE(A140,CHAR(13),""),FIND(CHAR(10),SUBSTITUTE(A140,CHAR(13),"")&amp;CHAR(10))-1)),FIND(".",(" "&amp;LEFT(SUBSTITUTE(A140,CHAR(13),""),FIND(CHAR(10),SUBSTITUTE(A140,CHAR(13),"")&amp;CHAR(10))-1))))," ",""))))+1),FIND(" ",(" "&amp;LEFT(SUBSTITUTE(A140,CHAR(13),""),FIND(CHAR(10),SUBSTITUTE(A140,CHAR(13),"")&amp;CHAR(10))-1))&amp;" ",FIND(".",(" "&amp;LEFT(SUBSTITUTE(A140,CHAR(13),""),FIND(CHAR(10),SUBSTITUTE(A140,CHAR(13),"")&amp;CHAR(10))-1))))-(FIND("~",SUBSTITUTE(LEFT((" "&amp;LEFT(SUBSTITUTE(A140,CHAR(13),""),FIND(CHAR(10),SUBSTITUTE(A140,CHAR(13),"")&amp;CHAR(10))-1)),FIND(".",(" "&amp;LEFT(SUBSTITUTE(A140,CHAR(13),""),FIND(CHAR(10),SUBSTITUTE(A140,CHAR(13),"")&amp;CHAR(10))-1))))," ","~",LEN(LEFT((" "&amp;LEFT(SUBSTITUTE(A140,CHAR(13),""),FIND(CHAR(10),SUBSTITUTE(A140,CHAR(13),"")&amp;CHAR(10))-1)),FIND(".",(" "&amp;LEFT(SUBSTITUTE(A140,CHAR(13),""),FIND(CHAR(10),SUBSTITUTE(A140,CHAR(13),"")&amp;CHAR(10))-1)))))-LEN(SUBSTITUTE(LEFT((" "&amp;LEFT(SUBSTITUTE(A140,CHAR(13),""),FIND(CHAR(10),SUBSTITUTE(A140,CHAR(13),"")&amp;CHAR(10))-1)),FIND(".",(" "&amp;LEFT(SUBSTITUTE(A140,CHAR(13),""),FIND(CHAR(10),SUBSTITUTE(A140,CHAR(13),"")&amp;CHAR(10))-1))))," ",""))))+1)),""))</f>
        <v/>
      </c>
    </row>
    <row r="141" customFormat="false" ht="30" hidden="false" customHeight="true" outlineLevel="0" collapsed="false">
      <c r="A141" s="11" t="str">
        <f aca="false">IFERROR(INDEX(Pegar!$A$3:$A$1002,MATCH(137,Pegar!$B$3:$B$1002,0))&amp;IF(LEFT(INDEX(Pegar!$A$3:$A$1003,MATCH(137,Pegar!$B$3:$B$1002,0)+1),5)="DESC=",CHAR(10)&amp;INDEX(Pegar!$A$3:$A$1003,MATCH(137,Pegar!$B$3:$B$1002,0)+1),""),"")</f>
        <v/>
      </c>
      <c r="B141" s="12" t="str">
        <f aca="false">IF(TRIM(A141)="","",IFERROR(MID(SUBSTITUTE(SUBSTITUTE(A141,CHAR(10)," "),CHAR(13)," "),FIND(" MT"," "&amp;SUBSTITUTE(SUBSTITUTE(A141,CHAR(10)," "),CHAR(13)," ")),FIND(" ",SUBSTITUTE(SUBSTITUTE(A141,CHAR(10)," "),CHAR(13)," ")&amp;" ",FIND(" MT"," "&amp;SUBSTITUTE(SUBSTITUTE(A141,CHAR(10)," "),CHAR(13)," ")))-FIND(" MT"," "&amp;SUBSTITUTE(SUBSTITUTE(A141,CHAR(10)," "),CHAR(13)," "))),"MT no encontrado"))</f>
        <v/>
      </c>
      <c r="C141" s="15" t="str">
        <f aca="false">IF(TRIM(A141)="","",IF(D141="",FALSE(),SUBSTITUTE(SUBSTITUTE(SUBSTITUTE(D141,".",""),"0",""),"-","")&lt;&gt;""))</f>
        <v/>
      </c>
      <c r="D141" s="14" t="str">
        <f aca="false">IF(TRIM(A141)="","",IFERROR(MID((" "&amp;LEFT(SUBSTITUTE(A141,CHAR(13),""),FIND(CHAR(10),SUBSTITUTE(A141,CHAR(13),"")&amp;CHAR(10))-1)),(FIND("~",SUBSTITUTE(LEFT((" "&amp;LEFT(SUBSTITUTE(A141,CHAR(13),""),FIND(CHAR(10),SUBSTITUTE(A141,CHAR(13),"")&amp;CHAR(10))-1)),FIND(".",(" "&amp;LEFT(SUBSTITUTE(A141,CHAR(13),""),FIND(CHAR(10),SUBSTITUTE(A141,CHAR(13),"")&amp;CHAR(10))-1))))," ","~",LEN(LEFT((" "&amp;LEFT(SUBSTITUTE(A141,CHAR(13),""),FIND(CHAR(10),SUBSTITUTE(A141,CHAR(13),"")&amp;CHAR(10))-1)),FIND(".",(" "&amp;LEFT(SUBSTITUTE(A141,CHAR(13),""),FIND(CHAR(10),SUBSTITUTE(A141,CHAR(13),"")&amp;CHAR(10))-1)))))-LEN(SUBSTITUTE(LEFT((" "&amp;LEFT(SUBSTITUTE(A141,CHAR(13),""),FIND(CHAR(10),SUBSTITUTE(A141,CHAR(13),"")&amp;CHAR(10))-1)),FIND(".",(" "&amp;LEFT(SUBSTITUTE(A141,CHAR(13),""),FIND(CHAR(10),SUBSTITUTE(A141,CHAR(13),"")&amp;CHAR(10))-1))))," ",""))))+1),FIND(" ",(" "&amp;LEFT(SUBSTITUTE(A141,CHAR(13),""),FIND(CHAR(10),SUBSTITUTE(A141,CHAR(13),"")&amp;CHAR(10))-1))&amp;" ",FIND(".",(" "&amp;LEFT(SUBSTITUTE(A141,CHAR(13),""),FIND(CHAR(10),SUBSTITUTE(A141,CHAR(13),"")&amp;CHAR(10))-1))))-(FIND("~",SUBSTITUTE(LEFT((" "&amp;LEFT(SUBSTITUTE(A141,CHAR(13),""),FIND(CHAR(10),SUBSTITUTE(A141,CHAR(13),"")&amp;CHAR(10))-1)),FIND(".",(" "&amp;LEFT(SUBSTITUTE(A141,CHAR(13),""),FIND(CHAR(10),SUBSTITUTE(A141,CHAR(13),"")&amp;CHAR(10))-1))))," ","~",LEN(LEFT((" "&amp;LEFT(SUBSTITUTE(A141,CHAR(13),""),FIND(CHAR(10),SUBSTITUTE(A141,CHAR(13),"")&amp;CHAR(10))-1)),FIND(".",(" "&amp;LEFT(SUBSTITUTE(A141,CHAR(13),""),FIND(CHAR(10),SUBSTITUTE(A141,CHAR(13),"")&amp;CHAR(10))-1)))))-LEN(SUBSTITUTE(LEFT((" "&amp;LEFT(SUBSTITUTE(A141,CHAR(13),""),FIND(CHAR(10),SUBSTITUTE(A141,CHAR(13),"")&amp;CHAR(10))-1)),FIND(".",(" "&amp;LEFT(SUBSTITUTE(A141,CHAR(13),""),FIND(CHAR(10),SUBSTITUTE(A141,CHAR(13),"")&amp;CHAR(10))-1))))," ",""))))+1)),""))</f>
        <v/>
      </c>
    </row>
    <row r="142" customFormat="false" ht="30" hidden="false" customHeight="true" outlineLevel="0" collapsed="false">
      <c r="A142" s="11" t="str">
        <f aca="false">IFERROR(INDEX(Pegar!$A$3:$A$1002,MATCH(138,Pegar!$B$3:$B$1002,0))&amp;IF(LEFT(INDEX(Pegar!$A$3:$A$1003,MATCH(138,Pegar!$B$3:$B$1002,0)+1),5)="DESC=",CHAR(10)&amp;INDEX(Pegar!$A$3:$A$1003,MATCH(138,Pegar!$B$3:$B$1002,0)+1),""),"")</f>
        <v/>
      </c>
      <c r="B142" s="12" t="str">
        <f aca="false">IF(TRIM(A142)="","",IFERROR(MID(SUBSTITUTE(SUBSTITUTE(A142,CHAR(10)," "),CHAR(13)," "),FIND(" MT"," "&amp;SUBSTITUTE(SUBSTITUTE(A142,CHAR(10)," "),CHAR(13)," ")),FIND(" ",SUBSTITUTE(SUBSTITUTE(A142,CHAR(10)," "),CHAR(13)," ")&amp;" ",FIND(" MT"," "&amp;SUBSTITUTE(SUBSTITUTE(A142,CHAR(10)," "),CHAR(13)," ")))-FIND(" MT"," "&amp;SUBSTITUTE(SUBSTITUTE(A142,CHAR(10)," "),CHAR(13)," "))),"MT no encontrado"))</f>
        <v/>
      </c>
      <c r="C142" s="15" t="str">
        <f aca="false">IF(TRIM(A142)="","",IF(D142="",FALSE(),SUBSTITUTE(SUBSTITUTE(SUBSTITUTE(D142,".",""),"0",""),"-","")&lt;&gt;""))</f>
        <v/>
      </c>
      <c r="D142" s="14" t="str">
        <f aca="false">IF(TRIM(A142)="","",IFERROR(MID((" "&amp;LEFT(SUBSTITUTE(A142,CHAR(13),""),FIND(CHAR(10),SUBSTITUTE(A142,CHAR(13),"")&amp;CHAR(10))-1)),(FIND("~",SUBSTITUTE(LEFT((" "&amp;LEFT(SUBSTITUTE(A142,CHAR(13),""),FIND(CHAR(10),SUBSTITUTE(A142,CHAR(13),"")&amp;CHAR(10))-1)),FIND(".",(" "&amp;LEFT(SUBSTITUTE(A142,CHAR(13),""),FIND(CHAR(10),SUBSTITUTE(A142,CHAR(13),"")&amp;CHAR(10))-1))))," ","~",LEN(LEFT((" "&amp;LEFT(SUBSTITUTE(A142,CHAR(13),""),FIND(CHAR(10),SUBSTITUTE(A142,CHAR(13),"")&amp;CHAR(10))-1)),FIND(".",(" "&amp;LEFT(SUBSTITUTE(A142,CHAR(13),""),FIND(CHAR(10),SUBSTITUTE(A142,CHAR(13),"")&amp;CHAR(10))-1)))))-LEN(SUBSTITUTE(LEFT((" "&amp;LEFT(SUBSTITUTE(A142,CHAR(13),""),FIND(CHAR(10),SUBSTITUTE(A142,CHAR(13),"")&amp;CHAR(10))-1)),FIND(".",(" "&amp;LEFT(SUBSTITUTE(A142,CHAR(13),""),FIND(CHAR(10),SUBSTITUTE(A142,CHAR(13),"")&amp;CHAR(10))-1))))," ",""))))+1),FIND(" ",(" "&amp;LEFT(SUBSTITUTE(A142,CHAR(13),""),FIND(CHAR(10),SUBSTITUTE(A142,CHAR(13),"")&amp;CHAR(10))-1))&amp;" ",FIND(".",(" "&amp;LEFT(SUBSTITUTE(A142,CHAR(13),""),FIND(CHAR(10),SUBSTITUTE(A142,CHAR(13),"")&amp;CHAR(10))-1))))-(FIND("~",SUBSTITUTE(LEFT((" "&amp;LEFT(SUBSTITUTE(A142,CHAR(13),""),FIND(CHAR(10),SUBSTITUTE(A142,CHAR(13),"")&amp;CHAR(10))-1)),FIND(".",(" "&amp;LEFT(SUBSTITUTE(A142,CHAR(13),""),FIND(CHAR(10),SUBSTITUTE(A142,CHAR(13),"")&amp;CHAR(10))-1))))," ","~",LEN(LEFT((" "&amp;LEFT(SUBSTITUTE(A142,CHAR(13),""),FIND(CHAR(10),SUBSTITUTE(A142,CHAR(13),"")&amp;CHAR(10))-1)),FIND(".",(" "&amp;LEFT(SUBSTITUTE(A142,CHAR(13),""),FIND(CHAR(10),SUBSTITUTE(A142,CHAR(13),"")&amp;CHAR(10))-1)))))-LEN(SUBSTITUTE(LEFT((" "&amp;LEFT(SUBSTITUTE(A142,CHAR(13),""),FIND(CHAR(10),SUBSTITUTE(A142,CHAR(13),"")&amp;CHAR(10))-1)),FIND(".",(" "&amp;LEFT(SUBSTITUTE(A142,CHAR(13),""),FIND(CHAR(10),SUBSTITUTE(A142,CHAR(13),"")&amp;CHAR(10))-1))))," ",""))))+1)),""))</f>
        <v/>
      </c>
    </row>
    <row r="143" customFormat="false" ht="30" hidden="false" customHeight="true" outlineLevel="0" collapsed="false">
      <c r="A143" s="11" t="str">
        <f aca="false">IFERROR(INDEX(Pegar!$A$3:$A$1002,MATCH(139,Pegar!$B$3:$B$1002,0))&amp;IF(LEFT(INDEX(Pegar!$A$3:$A$1003,MATCH(139,Pegar!$B$3:$B$1002,0)+1),5)="DESC=",CHAR(10)&amp;INDEX(Pegar!$A$3:$A$1003,MATCH(139,Pegar!$B$3:$B$1002,0)+1),""),"")</f>
        <v/>
      </c>
      <c r="B143" s="12" t="str">
        <f aca="false">IF(TRIM(A143)="","",IFERROR(MID(SUBSTITUTE(SUBSTITUTE(A143,CHAR(10)," "),CHAR(13)," "),FIND(" MT"," "&amp;SUBSTITUTE(SUBSTITUTE(A143,CHAR(10)," "),CHAR(13)," ")),FIND(" ",SUBSTITUTE(SUBSTITUTE(A143,CHAR(10)," "),CHAR(13)," ")&amp;" ",FIND(" MT"," "&amp;SUBSTITUTE(SUBSTITUTE(A143,CHAR(10)," "),CHAR(13)," ")))-FIND(" MT"," "&amp;SUBSTITUTE(SUBSTITUTE(A143,CHAR(10)," "),CHAR(13)," "))),"MT no encontrado"))</f>
        <v/>
      </c>
      <c r="C143" s="15" t="str">
        <f aca="false">IF(TRIM(A143)="","",IF(D143="",FALSE(),SUBSTITUTE(SUBSTITUTE(SUBSTITUTE(D143,".",""),"0",""),"-","")&lt;&gt;""))</f>
        <v/>
      </c>
      <c r="D143" s="14" t="str">
        <f aca="false">IF(TRIM(A143)="","",IFERROR(MID((" "&amp;LEFT(SUBSTITUTE(A143,CHAR(13),""),FIND(CHAR(10),SUBSTITUTE(A143,CHAR(13),"")&amp;CHAR(10))-1)),(FIND("~",SUBSTITUTE(LEFT((" "&amp;LEFT(SUBSTITUTE(A143,CHAR(13),""),FIND(CHAR(10),SUBSTITUTE(A143,CHAR(13),"")&amp;CHAR(10))-1)),FIND(".",(" "&amp;LEFT(SUBSTITUTE(A143,CHAR(13),""),FIND(CHAR(10),SUBSTITUTE(A143,CHAR(13),"")&amp;CHAR(10))-1))))," ","~",LEN(LEFT((" "&amp;LEFT(SUBSTITUTE(A143,CHAR(13),""),FIND(CHAR(10),SUBSTITUTE(A143,CHAR(13),"")&amp;CHAR(10))-1)),FIND(".",(" "&amp;LEFT(SUBSTITUTE(A143,CHAR(13),""),FIND(CHAR(10),SUBSTITUTE(A143,CHAR(13),"")&amp;CHAR(10))-1)))))-LEN(SUBSTITUTE(LEFT((" "&amp;LEFT(SUBSTITUTE(A143,CHAR(13),""),FIND(CHAR(10),SUBSTITUTE(A143,CHAR(13),"")&amp;CHAR(10))-1)),FIND(".",(" "&amp;LEFT(SUBSTITUTE(A143,CHAR(13),""),FIND(CHAR(10),SUBSTITUTE(A143,CHAR(13),"")&amp;CHAR(10))-1))))," ",""))))+1),FIND(" ",(" "&amp;LEFT(SUBSTITUTE(A143,CHAR(13),""),FIND(CHAR(10),SUBSTITUTE(A143,CHAR(13),"")&amp;CHAR(10))-1))&amp;" ",FIND(".",(" "&amp;LEFT(SUBSTITUTE(A143,CHAR(13),""),FIND(CHAR(10),SUBSTITUTE(A143,CHAR(13),"")&amp;CHAR(10))-1))))-(FIND("~",SUBSTITUTE(LEFT((" "&amp;LEFT(SUBSTITUTE(A143,CHAR(13),""),FIND(CHAR(10),SUBSTITUTE(A143,CHAR(13),"")&amp;CHAR(10))-1)),FIND(".",(" "&amp;LEFT(SUBSTITUTE(A143,CHAR(13),""),FIND(CHAR(10),SUBSTITUTE(A143,CHAR(13),"")&amp;CHAR(10))-1))))," ","~",LEN(LEFT((" "&amp;LEFT(SUBSTITUTE(A143,CHAR(13),""),FIND(CHAR(10),SUBSTITUTE(A143,CHAR(13),"")&amp;CHAR(10))-1)),FIND(".",(" "&amp;LEFT(SUBSTITUTE(A143,CHAR(13),""),FIND(CHAR(10),SUBSTITUTE(A143,CHAR(13),"")&amp;CHAR(10))-1)))))-LEN(SUBSTITUTE(LEFT((" "&amp;LEFT(SUBSTITUTE(A143,CHAR(13),""),FIND(CHAR(10),SUBSTITUTE(A143,CHAR(13),"")&amp;CHAR(10))-1)),FIND(".",(" "&amp;LEFT(SUBSTITUTE(A143,CHAR(13),""),FIND(CHAR(10),SUBSTITUTE(A143,CHAR(13),"")&amp;CHAR(10))-1))))," ",""))))+1)),""))</f>
        <v/>
      </c>
    </row>
    <row r="144" customFormat="false" ht="30" hidden="false" customHeight="true" outlineLevel="0" collapsed="false">
      <c r="A144" s="11" t="str">
        <f aca="false">IFERROR(INDEX(Pegar!$A$3:$A$1002,MATCH(140,Pegar!$B$3:$B$1002,0))&amp;IF(LEFT(INDEX(Pegar!$A$3:$A$1003,MATCH(140,Pegar!$B$3:$B$1002,0)+1),5)="DESC=",CHAR(10)&amp;INDEX(Pegar!$A$3:$A$1003,MATCH(140,Pegar!$B$3:$B$1002,0)+1),""),"")</f>
        <v/>
      </c>
      <c r="B144" s="12" t="str">
        <f aca="false">IF(TRIM(A144)="","",IFERROR(MID(SUBSTITUTE(SUBSTITUTE(A144,CHAR(10)," "),CHAR(13)," "),FIND(" MT"," "&amp;SUBSTITUTE(SUBSTITUTE(A144,CHAR(10)," "),CHAR(13)," ")),FIND(" ",SUBSTITUTE(SUBSTITUTE(A144,CHAR(10)," "),CHAR(13)," ")&amp;" ",FIND(" MT"," "&amp;SUBSTITUTE(SUBSTITUTE(A144,CHAR(10)," "),CHAR(13)," ")))-FIND(" MT"," "&amp;SUBSTITUTE(SUBSTITUTE(A144,CHAR(10)," "),CHAR(13)," "))),"MT no encontrado"))</f>
        <v/>
      </c>
      <c r="C144" s="15" t="str">
        <f aca="false">IF(TRIM(A144)="","",IF(D144="",FALSE(),SUBSTITUTE(SUBSTITUTE(SUBSTITUTE(D144,".",""),"0",""),"-","")&lt;&gt;""))</f>
        <v/>
      </c>
      <c r="D144" s="14" t="str">
        <f aca="false">IF(TRIM(A144)="","",IFERROR(MID((" "&amp;LEFT(SUBSTITUTE(A144,CHAR(13),""),FIND(CHAR(10),SUBSTITUTE(A144,CHAR(13),"")&amp;CHAR(10))-1)),(FIND("~",SUBSTITUTE(LEFT((" "&amp;LEFT(SUBSTITUTE(A144,CHAR(13),""),FIND(CHAR(10),SUBSTITUTE(A144,CHAR(13),"")&amp;CHAR(10))-1)),FIND(".",(" "&amp;LEFT(SUBSTITUTE(A144,CHAR(13),""),FIND(CHAR(10),SUBSTITUTE(A144,CHAR(13),"")&amp;CHAR(10))-1))))," ","~",LEN(LEFT((" "&amp;LEFT(SUBSTITUTE(A144,CHAR(13),""),FIND(CHAR(10),SUBSTITUTE(A144,CHAR(13),"")&amp;CHAR(10))-1)),FIND(".",(" "&amp;LEFT(SUBSTITUTE(A144,CHAR(13),""),FIND(CHAR(10),SUBSTITUTE(A144,CHAR(13),"")&amp;CHAR(10))-1)))))-LEN(SUBSTITUTE(LEFT((" "&amp;LEFT(SUBSTITUTE(A144,CHAR(13),""),FIND(CHAR(10),SUBSTITUTE(A144,CHAR(13),"")&amp;CHAR(10))-1)),FIND(".",(" "&amp;LEFT(SUBSTITUTE(A144,CHAR(13),""),FIND(CHAR(10),SUBSTITUTE(A144,CHAR(13),"")&amp;CHAR(10))-1))))," ",""))))+1),FIND(" ",(" "&amp;LEFT(SUBSTITUTE(A144,CHAR(13),""),FIND(CHAR(10),SUBSTITUTE(A144,CHAR(13),"")&amp;CHAR(10))-1))&amp;" ",FIND(".",(" "&amp;LEFT(SUBSTITUTE(A144,CHAR(13),""),FIND(CHAR(10),SUBSTITUTE(A144,CHAR(13),"")&amp;CHAR(10))-1))))-(FIND("~",SUBSTITUTE(LEFT((" "&amp;LEFT(SUBSTITUTE(A144,CHAR(13),""),FIND(CHAR(10),SUBSTITUTE(A144,CHAR(13),"")&amp;CHAR(10))-1)),FIND(".",(" "&amp;LEFT(SUBSTITUTE(A144,CHAR(13),""),FIND(CHAR(10),SUBSTITUTE(A144,CHAR(13),"")&amp;CHAR(10))-1))))," ","~",LEN(LEFT((" "&amp;LEFT(SUBSTITUTE(A144,CHAR(13),""),FIND(CHAR(10),SUBSTITUTE(A144,CHAR(13),"")&amp;CHAR(10))-1)),FIND(".",(" "&amp;LEFT(SUBSTITUTE(A144,CHAR(13),""),FIND(CHAR(10),SUBSTITUTE(A144,CHAR(13),"")&amp;CHAR(10))-1)))))-LEN(SUBSTITUTE(LEFT((" "&amp;LEFT(SUBSTITUTE(A144,CHAR(13),""),FIND(CHAR(10),SUBSTITUTE(A144,CHAR(13),"")&amp;CHAR(10))-1)),FIND(".",(" "&amp;LEFT(SUBSTITUTE(A144,CHAR(13),""),FIND(CHAR(10),SUBSTITUTE(A144,CHAR(13),"")&amp;CHAR(10))-1))))," ",""))))+1)),""))</f>
        <v/>
      </c>
    </row>
    <row r="145" customFormat="false" ht="30" hidden="false" customHeight="true" outlineLevel="0" collapsed="false">
      <c r="A145" s="11" t="str">
        <f aca="false">IFERROR(INDEX(Pegar!$A$3:$A$1002,MATCH(141,Pegar!$B$3:$B$1002,0))&amp;IF(LEFT(INDEX(Pegar!$A$3:$A$1003,MATCH(141,Pegar!$B$3:$B$1002,0)+1),5)="DESC=",CHAR(10)&amp;INDEX(Pegar!$A$3:$A$1003,MATCH(141,Pegar!$B$3:$B$1002,0)+1),""),"")</f>
        <v/>
      </c>
      <c r="B145" s="12" t="str">
        <f aca="false">IF(TRIM(A145)="","",IFERROR(MID(SUBSTITUTE(SUBSTITUTE(A145,CHAR(10)," "),CHAR(13)," "),FIND(" MT"," "&amp;SUBSTITUTE(SUBSTITUTE(A145,CHAR(10)," "),CHAR(13)," ")),FIND(" ",SUBSTITUTE(SUBSTITUTE(A145,CHAR(10)," "),CHAR(13)," ")&amp;" ",FIND(" MT"," "&amp;SUBSTITUTE(SUBSTITUTE(A145,CHAR(10)," "),CHAR(13)," ")))-FIND(" MT"," "&amp;SUBSTITUTE(SUBSTITUTE(A145,CHAR(10)," "),CHAR(13)," "))),"MT no encontrado"))</f>
        <v/>
      </c>
      <c r="C145" s="15" t="str">
        <f aca="false">IF(TRIM(A145)="","",IF(D145="",FALSE(),SUBSTITUTE(SUBSTITUTE(SUBSTITUTE(D145,".",""),"0",""),"-","")&lt;&gt;""))</f>
        <v/>
      </c>
      <c r="D145" s="14" t="str">
        <f aca="false">IF(TRIM(A145)="","",IFERROR(MID((" "&amp;LEFT(SUBSTITUTE(A145,CHAR(13),""),FIND(CHAR(10),SUBSTITUTE(A145,CHAR(13),"")&amp;CHAR(10))-1)),(FIND("~",SUBSTITUTE(LEFT((" "&amp;LEFT(SUBSTITUTE(A145,CHAR(13),""),FIND(CHAR(10),SUBSTITUTE(A145,CHAR(13),"")&amp;CHAR(10))-1)),FIND(".",(" "&amp;LEFT(SUBSTITUTE(A145,CHAR(13),""),FIND(CHAR(10),SUBSTITUTE(A145,CHAR(13),"")&amp;CHAR(10))-1))))," ","~",LEN(LEFT((" "&amp;LEFT(SUBSTITUTE(A145,CHAR(13),""),FIND(CHAR(10),SUBSTITUTE(A145,CHAR(13),"")&amp;CHAR(10))-1)),FIND(".",(" "&amp;LEFT(SUBSTITUTE(A145,CHAR(13),""),FIND(CHAR(10),SUBSTITUTE(A145,CHAR(13),"")&amp;CHAR(10))-1)))))-LEN(SUBSTITUTE(LEFT((" "&amp;LEFT(SUBSTITUTE(A145,CHAR(13),""),FIND(CHAR(10),SUBSTITUTE(A145,CHAR(13),"")&amp;CHAR(10))-1)),FIND(".",(" "&amp;LEFT(SUBSTITUTE(A145,CHAR(13),""),FIND(CHAR(10),SUBSTITUTE(A145,CHAR(13),"")&amp;CHAR(10))-1))))," ",""))))+1),FIND(" ",(" "&amp;LEFT(SUBSTITUTE(A145,CHAR(13),""),FIND(CHAR(10),SUBSTITUTE(A145,CHAR(13),"")&amp;CHAR(10))-1))&amp;" ",FIND(".",(" "&amp;LEFT(SUBSTITUTE(A145,CHAR(13),""),FIND(CHAR(10),SUBSTITUTE(A145,CHAR(13),"")&amp;CHAR(10))-1))))-(FIND("~",SUBSTITUTE(LEFT((" "&amp;LEFT(SUBSTITUTE(A145,CHAR(13),""),FIND(CHAR(10),SUBSTITUTE(A145,CHAR(13),"")&amp;CHAR(10))-1)),FIND(".",(" "&amp;LEFT(SUBSTITUTE(A145,CHAR(13),""),FIND(CHAR(10),SUBSTITUTE(A145,CHAR(13),"")&amp;CHAR(10))-1))))," ","~",LEN(LEFT((" "&amp;LEFT(SUBSTITUTE(A145,CHAR(13),""),FIND(CHAR(10),SUBSTITUTE(A145,CHAR(13),"")&amp;CHAR(10))-1)),FIND(".",(" "&amp;LEFT(SUBSTITUTE(A145,CHAR(13),""),FIND(CHAR(10),SUBSTITUTE(A145,CHAR(13),"")&amp;CHAR(10))-1)))))-LEN(SUBSTITUTE(LEFT((" "&amp;LEFT(SUBSTITUTE(A145,CHAR(13),""),FIND(CHAR(10),SUBSTITUTE(A145,CHAR(13),"")&amp;CHAR(10))-1)),FIND(".",(" "&amp;LEFT(SUBSTITUTE(A145,CHAR(13),""),FIND(CHAR(10),SUBSTITUTE(A145,CHAR(13),"")&amp;CHAR(10))-1))))," ",""))))+1)),""))</f>
        <v/>
      </c>
    </row>
    <row r="146" customFormat="false" ht="30" hidden="false" customHeight="true" outlineLevel="0" collapsed="false">
      <c r="A146" s="11" t="str">
        <f aca="false">IFERROR(INDEX(Pegar!$A$3:$A$1002,MATCH(142,Pegar!$B$3:$B$1002,0))&amp;IF(LEFT(INDEX(Pegar!$A$3:$A$1003,MATCH(142,Pegar!$B$3:$B$1002,0)+1),5)="DESC=",CHAR(10)&amp;INDEX(Pegar!$A$3:$A$1003,MATCH(142,Pegar!$B$3:$B$1002,0)+1),""),"")</f>
        <v/>
      </c>
      <c r="B146" s="12" t="str">
        <f aca="false">IF(TRIM(A146)="","",IFERROR(MID(SUBSTITUTE(SUBSTITUTE(A146,CHAR(10)," "),CHAR(13)," "),FIND(" MT"," "&amp;SUBSTITUTE(SUBSTITUTE(A146,CHAR(10)," "),CHAR(13)," ")),FIND(" ",SUBSTITUTE(SUBSTITUTE(A146,CHAR(10)," "),CHAR(13)," ")&amp;" ",FIND(" MT"," "&amp;SUBSTITUTE(SUBSTITUTE(A146,CHAR(10)," "),CHAR(13)," ")))-FIND(" MT"," "&amp;SUBSTITUTE(SUBSTITUTE(A146,CHAR(10)," "),CHAR(13)," "))),"MT no encontrado"))</f>
        <v/>
      </c>
      <c r="C146" s="15" t="str">
        <f aca="false">IF(TRIM(A146)="","",IF(D146="",FALSE(),SUBSTITUTE(SUBSTITUTE(SUBSTITUTE(D146,".",""),"0",""),"-","")&lt;&gt;""))</f>
        <v/>
      </c>
      <c r="D146" s="14" t="str">
        <f aca="false">IF(TRIM(A146)="","",IFERROR(MID((" "&amp;LEFT(SUBSTITUTE(A146,CHAR(13),""),FIND(CHAR(10),SUBSTITUTE(A146,CHAR(13),"")&amp;CHAR(10))-1)),(FIND("~",SUBSTITUTE(LEFT((" "&amp;LEFT(SUBSTITUTE(A146,CHAR(13),""),FIND(CHAR(10),SUBSTITUTE(A146,CHAR(13),"")&amp;CHAR(10))-1)),FIND(".",(" "&amp;LEFT(SUBSTITUTE(A146,CHAR(13),""),FIND(CHAR(10),SUBSTITUTE(A146,CHAR(13),"")&amp;CHAR(10))-1))))," ","~",LEN(LEFT((" "&amp;LEFT(SUBSTITUTE(A146,CHAR(13),""),FIND(CHAR(10),SUBSTITUTE(A146,CHAR(13),"")&amp;CHAR(10))-1)),FIND(".",(" "&amp;LEFT(SUBSTITUTE(A146,CHAR(13),""),FIND(CHAR(10),SUBSTITUTE(A146,CHAR(13),"")&amp;CHAR(10))-1)))))-LEN(SUBSTITUTE(LEFT((" "&amp;LEFT(SUBSTITUTE(A146,CHAR(13),""),FIND(CHAR(10),SUBSTITUTE(A146,CHAR(13),"")&amp;CHAR(10))-1)),FIND(".",(" "&amp;LEFT(SUBSTITUTE(A146,CHAR(13),""),FIND(CHAR(10),SUBSTITUTE(A146,CHAR(13),"")&amp;CHAR(10))-1))))," ",""))))+1),FIND(" ",(" "&amp;LEFT(SUBSTITUTE(A146,CHAR(13),""),FIND(CHAR(10),SUBSTITUTE(A146,CHAR(13),"")&amp;CHAR(10))-1))&amp;" ",FIND(".",(" "&amp;LEFT(SUBSTITUTE(A146,CHAR(13),""),FIND(CHAR(10),SUBSTITUTE(A146,CHAR(13),"")&amp;CHAR(10))-1))))-(FIND("~",SUBSTITUTE(LEFT((" "&amp;LEFT(SUBSTITUTE(A146,CHAR(13),""),FIND(CHAR(10),SUBSTITUTE(A146,CHAR(13),"")&amp;CHAR(10))-1)),FIND(".",(" "&amp;LEFT(SUBSTITUTE(A146,CHAR(13),""),FIND(CHAR(10),SUBSTITUTE(A146,CHAR(13),"")&amp;CHAR(10))-1))))," ","~",LEN(LEFT((" "&amp;LEFT(SUBSTITUTE(A146,CHAR(13),""),FIND(CHAR(10),SUBSTITUTE(A146,CHAR(13),"")&amp;CHAR(10))-1)),FIND(".",(" "&amp;LEFT(SUBSTITUTE(A146,CHAR(13),""),FIND(CHAR(10),SUBSTITUTE(A146,CHAR(13),"")&amp;CHAR(10))-1)))))-LEN(SUBSTITUTE(LEFT((" "&amp;LEFT(SUBSTITUTE(A146,CHAR(13),""),FIND(CHAR(10),SUBSTITUTE(A146,CHAR(13),"")&amp;CHAR(10))-1)),FIND(".",(" "&amp;LEFT(SUBSTITUTE(A146,CHAR(13),""),FIND(CHAR(10),SUBSTITUTE(A146,CHAR(13),"")&amp;CHAR(10))-1))))," ",""))))+1)),""))</f>
        <v/>
      </c>
    </row>
    <row r="147" customFormat="false" ht="30" hidden="false" customHeight="true" outlineLevel="0" collapsed="false">
      <c r="A147" s="11" t="str">
        <f aca="false">IFERROR(INDEX(Pegar!$A$3:$A$1002,MATCH(143,Pegar!$B$3:$B$1002,0))&amp;IF(LEFT(INDEX(Pegar!$A$3:$A$1003,MATCH(143,Pegar!$B$3:$B$1002,0)+1),5)="DESC=",CHAR(10)&amp;INDEX(Pegar!$A$3:$A$1003,MATCH(143,Pegar!$B$3:$B$1002,0)+1),""),"")</f>
        <v/>
      </c>
      <c r="B147" s="12" t="str">
        <f aca="false">IF(TRIM(A147)="","",IFERROR(MID(SUBSTITUTE(SUBSTITUTE(A147,CHAR(10)," "),CHAR(13)," "),FIND(" MT"," "&amp;SUBSTITUTE(SUBSTITUTE(A147,CHAR(10)," "),CHAR(13)," ")),FIND(" ",SUBSTITUTE(SUBSTITUTE(A147,CHAR(10)," "),CHAR(13)," ")&amp;" ",FIND(" MT"," "&amp;SUBSTITUTE(SUBSTITUTE(A147,CHAR(10)," "),CHAR(13)," ")))-FIND(" MT"," "&amp;SUBSTITUTE(SUBSTITUTE(A147,CHAR(10)," "),CHAR(13)," "))),"MT no encontrado"))</f>
        <v/>
      </c>
      <c r="C147" s="15" t="str">
        <f aca="false">IF(TRIM(A147)="","",IF(D147="",FALSE(),SUBSTITUTE(SUBSTITUTE(SUBSTITUTE(D147,".",""),"0",""),"-","")&lt;&gt;""))</f>
        <v/>
      </c>
      <c r="D147" s="14" t="str">
        <f aca="false">IF(TRIM(A147)="","",IFERROR(MID((" "&amp;LEFT(SUBSTITUTE(A147,CHAR(13),""),FIND(CHAR(10),SUBSTITUTE(A147,CHAR(13),"")&amp;CHAR(10))-1)),(FIND("~",SUBSTITUTE(LEFT((" "&amp;LEFT(SUBSTITUTE(A147,CHAR(13),""),FIND(CHAR(10),SUBSTITUTE(A147,CHAR(13),"")&amp;CHAR(10))-1)),FIND(".",(" "&amp;LEFT(SUBSTITUTE(A147,CHAR(13),""),FIND(CHAR(10),SUBSTITUTE(A147,CHAR(13),"")&amp;CHAR(10))-1))))," ","~",LEN(LEFT((" "&amp;LEFT(SUBSTITUTE(A147,CHAR(13),""),FIND(CHAR(10),SUBSTITUTE(A147,CHAR(13),"")&amp;CHAR(10))-1)),FIND(".",(" "&amp;LEFT(SUBSTITUTE(A147,CHAR(13),""),FIND(CHAR(10),SUBSTITUTE(A147,CHAR(13),"")&amp;CHAR(10))-1)))))-LEN(SUBSTITUTE(LEFT((" "&amp;LEFT(SUBSTITUTE(A147,CHAR(13),""),FIND(CHAR(10),SUBSTITUTE(A147,CHAR(13),"")&amp;CHAR(10))-1)),FIND(".",(" "&amp;LEFT(SUBSTITUTE(A147,CHAR(13),""),FIND(CHAR(10),SUBSTITUTE(A147,CHAR(13),"")&amp;CHAR(10))-1))))," ",""))))+1),FIND(" ",(" "&amp;LEFT(SUBSTITUTE(A147,CHAR(13),""),FIND(CHAR(10),SUBSTITUTE(A147,CHAR(13),"")&amp;CHAR(10))-1))&amp;" ",FIND(".",(" "&amp;LEFT(SUBSTITUTE(A147,CHAR(13),""),FIND(CHAR(10),SUBSTITUTE(A147,CHAR(13),"")&amp;CHAR(10))-1))))-(FIND("~",SUBSTITUTE(LEFT((" "&amp;LEFT(SUBSTITUTE(A147,CHAR(13),""),FIND(CHAR(10),SUBSTITUTE(A147,CHAR(13),"")&amp;CHAR(10))-1)),FIND(".",(" "&amp;LEFT(SUBSTITUTE(A147,CHAR(13),""),FIND(CHAR(10),SUBSTITUTE(A147,CHAR(13),"")&amp;CHAR(10))-1))))," ","~",LEN(LEFT((" "&amp;LEFT(SUBSTITUTE(A147,CHAR(13),""),FIND(CHAR(10),SUBSTITUTE(A147,CHAR(13),"")&amp;CHAR(10))-1)),FIND(".",(" "&amp;LEFT(SUBSTITUTE(A147,CHAR(13),""),FIND(CHAR(10),SUBSTITUTE(A147,CHAR(13),"")&amp;CHAR(10))-1)))))-LEN(SUBSTITUTE(LEFT((" "&amp;LEFT(SUBSTITUTE(A147,CHAR(13),""),FIND(CHAR(10),SUBSTITUTE(A147,CHAR(13),"")&amp;CHAR(10))-1)),FIND(".",(" "&amp;LEFT(SUBSTITUTE(A147,CHAR(13),""),FIND(CHAR(10),SUBSTITUTE(A147,CHAR(13),"")&amp;CHAR(10))-1))))," ",""))))+1)),""))</f>
        <v/>
      </c>
    </row>
    <row r="148" customFormat="false" ht="30" hidden="false" customHeight="true" outlineLevel="0" collapsed="false">
      <c r="A148" s="11" t="str">
        <f aca="false">IFERROR(INDEX(Pegar!$A$3:$A$1002,MATCH(144,Pegar!$B$3:$B$1002,0))&amp;IF(LEFT(INDEX(Pegar!$A$3:$A$1003,MATCH(144,Pegar!$B$3:$B$1002,0)+1),5)="DESC=",CHAR(10)&amp;INDEX(Pegar!$A$3:$A$1003,MATCH(144,Pegar!$B$3:$B$1002,0)+1),""),"")</f>
        <v/>
      </c>
      <c r="B148" s="12" t="str">
        <f aca="false">IF(TRIM(A148)="","",IFERROR(MID(SUBSTITUTE(SUBSTITUTE(A148,CHAR(10)," "),CHAR(13)," "),FIND(" MT"," "&amp;SUBSTITUTE(SUBSTITUTE(A148,CHAR(10)," "),CHAR(13)," ")),FIND(" ",SUBSTITUTE(SUBSTITUTE(A148,CHAR(10)," "),CHAR(13)," ")&amp;" ",FIND(" MT"," "&amp;SUBSTITUTE(SUBSTITUTE(A148,CHAR(10)," "),CHAR(13)," ")))-FIND(" MT"," "&amp;SUBSTITUTE(SUBSTITUTE(A148,CHAR(10)," "),CHAR(13)," "))),"MT no encontrado"))</f>
        <v/>
      </c>
      <c r="C148" s="15" t="str">
        <f aca="false">IF(TRIM(A148)="","",IF(D148="",FALSE(),SUBSTITUTE(SUBSTITUTE(SUBSTITUTE(D148,".",""),"0",""),"-","")&lt;&gt;""))</f>
        <v/>
      </c>
      <c r="D148" s="14" t="str">
        <f aca="false">IF(TRIM(A148)="","",IFERROR(MID((" "&amp;LEFT(SUBSTITUTE(A148,CHAR(13),""),FIND(CHAR(10),SUBSTITUTE(A148,CHAR(13),"")&amp;CHAR(10))-1)),(FIND("~",SUBSTITUTE(LEFT((" "&amp;LEFT(SUBSTITUTE(A148,CHAR(13),""),FIND(CHAR(10),SUBSTITUTE(A148,CHAR(13),"")&amp;CHAR(10))-1)),FIND(".",(" "&amp;LEFT(SUBSTITUTE(A148,CHAR(13),""),FIND(CHAR(10),SUBSTITUTE(A148,CHAR(13),"")&amp;CHAR(10))-1))))," ","~",LEN(LEFT((" "&amp;LEFT(SUBSTITUTE(A148,CHAR(13),""),FIND(CHAR(10),SUBSTITUTE(A148,CHAR(13),"")&amp;CHAR(10))-1)),FIND(".",(" "&amp;LEFT(SUBSTITUTE(A148,CHAR(13),""),FIND(CHAR(10),SUBSTITUTE(A148,CHAR(13),"")&amp;CHAR(10))-1)))))-LEN(SUBSTITUTE(LEFT((" "&amp;LEFT(SUBSTITUTE(A148,CHAR(13),""),FIND(CHAR(10),SUBSTITUTE(A148,CHAR(13),"")&amp;CHAR(10))-1)),FIND(".",(" "&amp;LEFT(SUBSTITUTE(A148,CHAR(13),""),FIND(CHAR(10),SUBSTITUTE(A148,CHAR(13),"")&amp;CHAR(10))-1))))," ",""))))+1),FIND(" ",(" "&amp;LEFT(SUBSTITUTE(A148,CHAR(13),""),FIND(CHAR(10),SUBSTITUTE(A148,CHAR(13),"")&amp;CHAR(10))-1))&amp;" ",FIND(".",(" "&amp;LEFT(SUBSTITUTE(A148,CHAR(13),""),FIND(CHAR(10),SUBSTITUTE(A148,CHAR(13),"")&amp;CHAR(10))-1))))-(FIND("~",SUBSTITUTE(LEFT((" "&amp;LEFT(SUBSTITUTE(A148,CHAR(13),""),FIND(CHAR(10),SUBSTITUTE(A148,CHAR(13),"")&amp;CHAR(10))-1)),FIND(".",(" "&amp;LEFT(SUBSTITUTE(A148,CHAR(13),""),FIND(CHAR(10),SUBSTITUTE(A148,CHAR(13),"")&amp;CHAR(10))-1))))," ","~",LEN(LEFT((" "&amp;LEFT(SUBSTITUTE(A148,CHAR(13),""),FIND(CHAR(10),SUBSTITUTE(A148,CHAR(13),"")&amp;CHAR(10))-1)),FIND(".",(" "&amp;LEFT(SUBSTITUTE(A148,CHAR(13),""),FIND(CHAR(10),SUBSTITUTE(A148,CHAR(13),"")&amp;CHAR(10))-1)))))-LEN(SUBSTITUTE(LEFT((" "&amp;LEFT(SUBSTITUTE(A148,CHAR(13),""),FIND(CHAR(10),SUBSTITUTE(A148,CHAR(13),"")&amp;CHAR(10))-1)),FIND(".",(" "&amp;LEFT(SUBSTITUTE(A148,CHAR(13),""),FIND(CHAR(10),SUBSTITUTE(A148,CHAR(13),"")&amp;CHAR(10))-1))))," ",""))))+1)),""))</f>
        <v/>
      </c>
    </row>
    <row r="149" customFormat="false" ht="30" hidden="false" customHeight="true" outlineLevel="0" collapsed="false">
      <c r="A149" s="11" t="str">
        <f aca="false">IFERROR(INDEX(Pegar!$A$3:$A$1002,MATCH(145,Pegar!$B$3:$B$1002,0))&amp;IF(LEFT(INDEX(Pegar!$A$3:$A$1003,MATCH(145,Pegar!$B$3:$B$1002,0)+1),5)="DESC=",CHAR(10)&amp;INDEX(Pegar!$A$3:$A$1003,MATCH(145,Pegar!$B$3:$B$1002,0)+1),""),"")</f>
        <v/>
      </c>
      <c r="B149" s="12" t="str">
        <f aca="false">IF(TRIM(A149)="","",IFERROR(MID(SUBSTITUTE(SUBSTITUTE(A149,CHAR(10)," "),CHAR(13)," "),FIND(" MT"," "&amp;SUBSTITUTE(SUBSTITUTE(A149,CHAR(10)," "),CHAR(13)," ")),FIND(" ",SUBSTITUTE(SUBSTITUTE(A149,CHAR(10)," "),CHAR(13)," ")&amp;" ",FIND(" MT"," "&amp;SUBSTITUTE(SUBSTITUTE(A149,CHAR(10)," "),CHAR(13)," ")))-FIND(" MT"," "&amp;SUBSTITUTE(SUBSTITUTE(A149,CHAR(10)," "),CHAR(13)," "))),"MT no encontrado"))</f>
        <v/>
      </c>
      <c r="C149" s="15" t="str">
        <f aca="false">IF(TRIM(A149)="","",IF(D149="",FALSE(),SUBSTITUTE(SUBSTITUTE(SUBSTITUTE(D149,".",""),"0",""),"-","")&lt;&gt;""))</f>
        <v/>
      </c>
      <c r="D149" s="14" t="str">
        <f aca="false">IF(TRIM(A149)="","",IFERROR(MID((" "&amp;LEFT(SUBSTITUTE(A149,CHAR(13),""),FIND(CHAR(10),SUBSTITUTE(A149,CHAR(13),"")&amp;CHAR(10))-1)),(FIND("~",SUBSTITUTE(LEFT((" "&amp;LEFT(SUBSTITUTE(A149,CHAR(13),""),FIND(CHAR(10),SUBSTITUTE(A149,CHAR(13),"")&amp;CHAR(10))-1)),FIND(".",(" "&amp;LEFT(SUBSTITUTE(A149,CHAR(13),""),FIND(CHAR(10),SUBSTITUTE(A149,CHAR(13),"")&amp;CHAR(10))-1))))," ","~",LEN(LEFT((" "&amp;LEFT(SUBSTITUTE(A149,CHAR(13),""),FIND(CHAR(10),SUBSTITUTE(A149,CHAR(13),"")&amp;CHAR(10))-1)),FIND(".",(" "&amp;LEFT(SUBSTITUTE(A149,CHAR(13),""),FIND(CHAR(10),SUBSTITUTE(A149,CHAR(13),"")&amp;CHAR(10))-1)))))-LEN(SUBSTITUTE(LEFT((" "&amp;LEFT(SUBSTITUTE(A149,CHAR(13),""),FIND(CHAR(10),SUBSTITUTE(A149,CHAR(13),"")&amp;CHAR(10))-1)),FIND(".",(" "&amp;LEFT(SUBSTITUTE(A149,CHAR(13),""),FIND(CHAR(10),SUBSTITUTE(A149,CHAR(13),"")&amp;CHAR(10))-1))))," ",""))))+1),FIND(" ",(" "&amp;LEFT(SUBSTITUTE(A149,CHAR(13),""),FIND(CHAR(10),SUBSTITUTE(A149,CHAR(13),"")&amp;CHAR(10))-1))&amp;" ",FIND(".",(" "&amp;LEFT(SUBSTITUTE(A149,CHAR(13),""),FIND(CHAR(10),SUBSTITUTE(A149,CHAR(13),"")&amp;CHAR(10))-1))))-(FIND("~",SUBSTITUTE(LEFT((" "&amp;LEFT(SUBSTITUTE(A149,CHAR(13),""),FIND(CHAR(10),SUBSTITUTE(A149,CHAR(13),"")&amp;CHAR(10))-1)),FIND(".",(" "&amp;LEFT(SUBSTITUTE(A149,CHAR(13),""),FIND(CHAR(10),SUBSTITUTE(A149,CHAR(13),"")&amp;CHAR(10))-1))))," ","~",LEN(LEFT((" "&amp;LEFT(SUBSTITUTE(A149,CHAR(13),""),FIND(CHAR(10),SUBSTITUTE(A149,CHAR(13),"")&amp;CHAR(10))-1)),FIND(".",(" "&amp;LEFT(SUBSTITUTE(A149,CHAR(13),""),FIND(CHAR(10),SUBSTITUTE(A149,CHAR(13),"")&amp;CHAR(10))-1)))))-LEN(SUBSTITUTE(LEFT((" "&amp;LEFT(SUBSTITUTE(A149,CHAR(13),""),FIND(CHAR(10),SUBSTITUTE(A149,CHAR(13),"")&amp;CHAR(10))-1)),FIND(".",(" "&amp;LEFT(SUBSTITUTE(A149,CHAR(13),""),FIND(CHAR(10),SUBSTITUTE(A149,CHAR(13),"")&amp;CHAR(10))-1))))," ",""))))+1)),""))</f>
        <v/>
      </c>
    </row>
    <row r="150" customFormat="false" ht="30" hidden="false" customHeight="true" outlineLevel="0" collapsed="false">
      <c r="A150" s="11" t="str">
        <f aca="false">IFERROR(INDEX(Pegar!$A$3:$A$1002,MATCH(146,Pegar!$B$3:$B$1002,0))&amp;IF(LEFT(INDEX(Pegar!$A$3:$A$1003,MATCH(146,Pegar!$B$3:$B$1002,0)+1),5)="DESC=",CHAR(10)&amp;INDEX(Pegar!$A$3:$A$1003,MATCH(146,Pegar!$B$3:$B$1002,0)+1),""),"")</f>
        <v/>
      </c>
      <c r="B150" s="12" t="str">
        <f aca="false">IF(TRIM(A150)="","",IFERROR(MID(SUBSTITUTE(SUBSTITUTE(A150,CHAR(10)," "),CHAR(13)," "),FIND(" MT"," "&amp;SUBSTITUTE(SUBSTITUTE(A150,CHAR(10)," "),CHAR(13)," ")),FIND(" ",SUBSTITUTE(SUBSTITUTE(A150,CHAR(10)," "),CHAR(13)," ")&amp;" ",FIND(" MT"," "&amp;SUBSTITUTE(SUBSTITUTE(A150,CHAR(10)," "),CHAR(13)," ")))-FIND(" MT"," "&amp;SUBSTITUTE(SUBSTITUTE(A150,CHAR(10)," "),CHAR(13)," "))),"MT no encontrado"))</f>
        <v/>
      </c>
      <c r="C150" s="15" t="str">
        <f aca="false">IF(TRIM(A150)="","",IF(D150="",FALSE(),SUBSTITUTE(SUBSTITUTE(SUBSTITUTE(D150,".",""),"0",""),"-","")&lt;&gt;""))</f>
        <v/>
      </c>
      <c r="D150" s="14" t="str">
        <f aca="false">IF(TRIM(A150)="","",IFERROR(MID((" "&amp;LEFT(SUBSTITUTE(A150,CHAR(13),""),FIND(CHAR(10),SUBSTITUTE(A150,CHAR(13),"")&amp;CHAR(10))-1)),(FIND("~",SUBSTITUTE(LEFT((" "&amp;LEFT(SUBSTITUTE(A150,CHAR(13),""),FIND(CHAR(10),SUBSTITUTE(A150,CHAR(13),"")&amp;CHAR(10))-1)),FIND(".",(" "&amp;LEFT(SUBSTITUTE(A150,CHAR(13),""),FIND(CHAR(10),SUBSTITUTE(A150,CHAR(13),"")&amp;CHAR(10))-1))))," ","~",LEN(LEFT((" "&amp;LEFT(SUBSTITUTE(A150,CHAR(13),""),FIND(CHAR(10),SUBSTITUTE(A150,CHAR(13),"")&amp;CHAR(10))-1)),FIND(".",(" "&amp;LEFT(SUBSTITUTE(A150,CHAR(13),""),FIND(CHAR(10),SUBSTITUTE(A150,CHAR(13),"")&amp;CHAR(10))-1)))))-LEN(SUBSTITUTE(LEFT((" "&amp;LEFT(SUBSTITUTE(A150,CHAR(13),""),FIND(CHAR(10),SUBSTITUTE(A150,CHAR(13),"")&amp;CHAR(10))-1)),FIND(".",(" "&amp;LEFT(SUBSTITUTE(A150,CHAR(13),""),FIND(CHAR(10),SUBSTITUTE(A150,CHAR(13),"")&amp;CHAR(10))-1))))," ",""))))+1),FIND(" ",(" "&amp;LEFT(SUBSTITUTE(A150,CHAR(13),""),FIND(CHAR(10),SUBSTITUTE(A150,CHAR(13),"")&amp;CHAR(10))-1))&amp;" ",FIND(".",(" "&amp;LEFT(SUBSTITUTE(A150,CHAR(13),""),FIND(CHAR(10),SUBSTITUTE(A150,CHAR(13),"")&amp;CHAR(10))-1))))-(FIND("~",SUBSTITUTE(LEFT((" "&amp;LEFT(SUBSTITUTE(A150,CHAR(13),""),FIND(CHAR(10),SUBSTITUTE(A150,CHAR(13),"")&amp;CHAR(10))-1)),FIND(".",(" "&amp;LEFT(SUBSTITUTE(A150,CHAR(13),""),FIND(CHAR(10),SUBSTITUTE(A150,CHAR(13),"")&amp;CHAR(10))-1))))," ","~",LEN(LEFT((" "&amp;LEFT(SUBSTITUTE(A150,CHAR(13),""),FIND(CHAR(10),SUBSTITUTE(A150,CHAR(13),"")&amp;CHAR(10))-1)),FIND(".",(" "&amp;LEFT(SUBSTITUTE(A150,CHAR(13),""),FIND(CHAR(10),SUBSTITUTE(A150,CHAR(13),"")&amp;CHAR(10))-1)))))-LEN(SUBSTITUTE(LEFT((" "&amp;LEFT(SUBSTITUTE(A150,CHAR(13),""),FIND(CHAR(10),SUBSTITUTE(A150,CHAR(13),"")&amp;CHAR(10))-1)),FIND(".",(" "&amp;LEFT(SUBSTITUTE(A150,CHAR(13),""),FIND(CHAR(10),SUBSTITUTE(A150,CHAR(13),"")&amp;CHAR(10))-1))))," ",""))))+1)),""))</f>
        <v/>
      </c>
    </row>
    <row r="151" customFormat="false" ht="30" hidden="false" customHeight="true" outlineLevel="0" collapsed="false">
      <c r="A151" s="11" t="str">
        <f aca="false">IFERROR(INDEX(Pegar!$A$3:$A$1002,MATCH(147,Pegar!$B$3:$B$1002,0))&amp;IF(LEFT(INDEX(Pegar!$A$3:$A$1003,MATCH(147,Pegar!$B$3:$B$1002,0)+1),5)="DESC=",CHAR(10)&amp;INDEX(Pegar!$A$3:$A$1003,MATCH(147,Pegar!$B$3:$B$1002,0)+1),""),"")</f>
        <v/>
      </c>
      <c r="B151" s="12" t="str">
        <f aca="false">IF(TRIM(A151)="","",IFERROR(MID(SUBSTITUTE(SUBSTITUTE(A151,CHAR(10)," "),CHAR(13)," "),FIND(" MT"," "&amp;SUBSTITUTE(SUBSTITUTE(A151,CHAR(10)," "),CHAR(13)," ")),FIND(" ",SUBSTITUTE(SUBSTITUTE(A151,CHAR(10)," "),CHAR(13)," ")&amp;" ",FIND(" MT"," "&amp;SUBSTITUTE(SUBSTITUTE(A151,CHAR(10)," "),CHAR(13)," ")))-FIND(" MT"," "&amp;SUBSTITUTE(SUBSTITUTE(A151,CHAR(10)," "),CHAR(13)," "))),"MT no encontrado"))</f>
        <v/>
      </c>
      <c r="C151" s="15" t="str">
        <f aca="false">IF(TRIM(A151)="","",IF(D151="",FALSE(),SUBSTITUTE(SUBSTITUTE(SUBSTITUTE(D151,".",""),"0",""),"-","")&lt;&gt;""))</f>
        <v/>
      </c>
      <c r="D151" s="14" t="str">
        <f aca="false">IF(TRIM(A151)="","",IFERROR(MID((" "&amp;LEFT(SUBSTITUTE(A151,CHAR(13),""),FIND(CHAR(10),SUBSTITUTE(A151,CHAR(13),"")&amp;CHAR(10))-1)),(FIND("~",SUBSTITUTE(LEFT((" "&amp;LEFT(SUBSTITUTE(A151,CHAR(13),""),FIND(CHAR(10),SUBSTITUTE(A151,CHAR(13),"")&amp;CHAR(10))-1)),FIND(".",(" "&amp;LEFT(SUBSTITUTE(A151,CHAR(13),""),FIND(CHAR(10),SUBSTITUTE(A151,CHAR(13),"")&amp;CHAR(10))-1))))," ","~",LEN(LEFT((" "&amp;LEFT(SUBSTITUTE(A151,CHAR(13),""),FIND(CHAR(10),SUBSTITUTE(A151,CHAR(13),"")&amp;CHAR(10))-1)),FIND(".",(" "&amp;LEFT(SUBSTITUTE(A151,CHAR(13),""),FIND(CHAR(10),SUBSTITUTE(A151,CHAR(13),"")&amp;CHAR(10))-1)))))-LEN(SUBSTITUTE(LEFT((" "&amp;LEFT(SUBSTITUTE(A151,CHAR(13),""),FIND(CHAR(10),SUBSTITUTE(A151,CHAR(13),"")&amp;CHAR(10))-1)),FIND(".",(" "&amp;LEFT(SUBSTITUTE(A151,CHAR(13),""),FIND(CHAR(10),SUBSTITUTE(A151,CHAR(13),"")&amp;CHAR(10))-1))))," ",""))))+1),FIND(" ",(" "&amp;LEFT(SUBSTITUTE(A151,CHAR(13),""),FIND(CHAR(10),SUBSTITUTE(A151,CHAR(13),"")&amp;CHAR(10))-1))&amp;" ",FIND(".",(" "&amp;LEFT(SUBSTITUTE(A151,CHAR(13),""),FIND(CHAR(10),SUBSTITUTE(A151,CHAR(13),"")&amp;CHAR(10))-1))))-(FIND("~",SUBSTITUTE(LEFT((" "&amp;LEFT(SUBSTITUTE(A151,CHAR(13),""),FIND(CHAR(10),SUBSTITUTE(A151,CHAR(13),"")&amp;CHAR(10))-1)),FIND(".",(" "&amp;LEFT(SUBSTITUTE(A151,CHAR(13),""),FIND(CHAR(10),SUBSTITUTE(A151,CHAR(13),"")&amp;CHAR(10))-1))))," ","~",LEN(LEFT((" "&amp;LEFT(SUBSTITUTE(A151,CHAR(13),""),FIND(CHAR(10),SUBSTITUTE(A151,CHAR(13),"")&amp;CHAR(10))-1)),FIND(".",(" "&amp;LEFT(SUBSTITUTE(A151,CHAR(13),""),FIND(CHAR(10),SUBSTITUTE(A151,CHAR(13),"")&amp;CHAR(10))-1)))))-LEN(SUBSTITUTE(LEFT((" "&amp;LEFT(SUBSTITUTE(A151,CHAR(13),""),FIND(CHAR(10),SUBSTITUTE(A151,CHAR(13),"")&amp;CHAR(10))-1)),FIND(".",(" "&amp;LEFT(SUBSTITUTE(A151,CHAR(13),""),FIND(CHAR(10),SUBSTITUTE(A151,CHAR(13),"")&amp;CHAR(10))-1))))," ",""))))+1)),""))</f>
        <v/>
      </c>
    </row>
    <row r="152" customFormat="false" ht="30" hidden="false" customHeight="true" outlineLevel="0" collapsed="false">
      <c r="A152" s="11" t="str">
        <f aca="false">IFERROR(INDEX(Pegar!$A$3:$A$1002,MATCH(148,Pegar!$B$3:$B$1002,0))&amp;IF(LEFT(INDEX(Pegar!$A$3:$A$1003,MATCH(148,Pegar!$B$3:$B$1002,0)+1),5)="DESC=",CHAR(10)&amp;INDEX(Pegar!$A$3:$A$1003,MATCH(148,Pegar!$B$3:$B$1002,0)+1),""),"")</f>
        <v/>
      </c>
      <c r="B152" s="12" t="str">
        <f aca="false">IF(TRIM(A152)="","",IFERROR(MID(SUBSTITUTE(SUBSTITUTE(A152,CHAR(10)," "),CHAR(13)," "),FIND(" MT"," "&amp;SUBSTITUTE(SUBSTITUTE(A152,CHAR(10)," "),CHAR(13)," ")),FIND(" ",SUBSTITUTE(SUBSTITUTE(A152,CHAR(10)," "),CHAR(13)," ")&amp;" ",FIND(" MT"," "&amp;SUBSTITUTE(SUBSTITUTE(A152,CHAR(10)," "),CHAR(13)," ")))-FIND(" MT"," "&amp;SUBSTITUTE(SUBSTITUTE(A152,CHAR(10)," "),CHAR(13)," "))),"MT no encontrado"))</f>
        <v/>
      </c>
      <c r="C152" s="15" t="str">
        <f aca="false">IF(TRIM(A152)="","",IF(D152="",FALSE(),SUBSTITUTE(SUBSTITUTE(SUBSTITUTE(D152,".",""),"0",""),"-","")&lt;&gt;""))</f>
        <v/>
      </c>
      <c r="D152" s="14" t="str">
        <f aca="false">IF(TRIM(A152)="","",IFERROR(MID((" "&amp;LEFT(SUBSTITUTE(A152,CHAR(13),""),FIND(CHAR(10),SUBSTITUTE(A152,CHAR(13),"")&amp;CHAR(10))-1)),(FIND("~",SUBSTITUTE(LEFT((" "&amp;LEFT(SUBSTITUTE(A152,CHAR(13),""),FIND(CHAR(10),SUBSTITUTE(A152,CHAR(13),"")&amp;CHAR(10))-1)),FIND(".",(" "&amp;LEFT(SUBSTITUTE(A152,CHAR(13),""),FIND(CHAR(10),SUBSTITUTE(A152,CHAR(13),"")&amp;CHAR(10))-1))))," ","~",LEN(LEFT((" "&amp;LEFT(SUBSTITUTE(A152,CHAR(13),""),FIND(CHAR(10),SUBSTITUTE(A152,CHAR(13),"")&amp;CHAR(10))-1)),FIND(".",(" "&amp;LEFT(SUBSTITUTE(A152,CHAR(13),""),FIND(CHAR(10),SUBSTITUTE(A152,CHAR(13),"")&amp;CHAR(10))-1)))))-LEN(SUBSTITUTE(LEFT((" "&amp;LEFT(SUBSTITUTE(A152,CHAR(13),""),FIND(CHAR(10),SUBSTITUTE(A152,CHAR(13),"")&amp;CHAR(10))-1)),FIND(".",(" "&amp;LEFT(SUBSTITUTE(A152,CHAR(13),""),FIND(CHAR(10),SUBSTITUTE(A152,CHAR(13),"")&amp;CHAR(10))-1))))," ",""))))+1),FIND(" ",(" "&amp;LEFT(SUBSTITUTE(A152,CHAR(13),""),FIND(CHAR(10),SUBSTITUTE(A152,CHAR(13),"")&amp;CHAR(10))-1))&amp;" ",FIND(".",(" "&amp;LEFT(SUBSTITUTE(A152,CHAR(13),""),FIND(CHAR(10),SUBSTITUTE(A152,CHAR(13),"")&amp;CHAR(10))-1))))-(FIND("~",SUBSTITUTE(LEFT((" "&amp;LEFT(SUBSTITUTE(A152,CHAR(13),""),FIND(CHAR(10),SUBSTITUTE(A152,CHAR(13),"")&amp;CHAR(10))-1)),FIND(".",(" "&amp;LEFT(SUBSTITUTE(A152,CHAR(13),""),FIND(CHAR(10),SUBSTITUTE(A152,CHAR(13),"")&amp;CHAR(10))-1))))," ","~",LEN(LEFT((" "&amp;LEFT(SUBSTITUTE(A152,CHAR(13),""),FIND(CHAR(10),SUBSTITUTE(A152,CHAR(13),"")&amp;CHAR(10))-1)),FIND(".",(" "&amp;LEFT(SUBSTITUTE(A152,CHAR(13),""),FIND(CHAR(10),SUBSTITUTE(A152,CHAR(13),"")&amp;CHAR(10))-1)))))-LEN(SUBSTITUTE(LEFT((" "&amp;LEFT(SUBSTITUTE(A152,CHAR(13),""),FIND(CHAR(10),SUBSTITUTE(A152,CHAR(13),"")&amp;CHAR(10))-1)),FIND(".",(" "&amp;LEFT(SUBSTITUTE(A152,CHAR(13),""),FIND(CHAR(10),SUBSTITUTE(A152,CHAR(13),"")&amp;CHAR(10))-1))))," ",""))))+1)),""))</f>
        <v/>
      </c>
    </row>
    <row r="153" customFormat="false" ht="30" hidden="false" customHeight="true" outlineLevel="0" collapsed="false">
      <c r="A153" s="11" t="str">
        <f aca="false">IFERROR(INDEX(Pegar!$A$3:$A$1002,MATCH(149,Pegar!$B$3:$B$1002,0))&amp;IF(LEFT(INDEX(Pegar!$A$3:$A$1003,MATCH(149,Pegar!$B$3:$B$1002,0)+1),5)="DESC=",CHAR(10)&amp;INDEX(Pegar!$A$3:$A$1003,MATCH(149,Pegar!$B$3:$B$1002,0)+1),""),"")</f>
        <v/>
      </c>
      <c r="B153" s="12" t="str">
        <f aca="false">IF(TRIM(A153)="","",IFERROR(MID(SUBSTITUTE(SUBSTITUTE(A153,CHAR(10)," "),CHAR(13)," "),FIND(" MT"," "&amp;SUBSTITUTE(SUBSTITUTE(A153,CHAR(10)," "),CHAR(13)," ")),FIND(" ",SUBSTITUTE(SUBSTITUTE(A153,CHAR(10)," "),CHAR(13)," ")&amp;" ",FIND(" MT"," "&amp;SUBSTITUTE(SUBSTITUTE(A153,CHAR(10)," "),CHAR(13)," ")))-FIND(" MT"," "&amp;SUBSTITUTE(SUBSTITUTE(A153,CHAR(10)," "),CHAR(13)," "))),"MT no encontrado"))</f>
        <v/>
      </c>
      <c r="C153" s="15" t="str">
        <f aca="false">IF(TRIM(A153)="","",IF(D153="",FALSE(),SUBSTITUTE(SUBSTITUTE(SUBSTITUTE(D153,".",""),"0",""),"-","")&lt;&gt;""))</f>
        <v/>
      </c>
      <c r="D153" s="14" t="str">
        <f aca="false">IF(TRIM(A153)="","",IFERROR(MID((" "&amp;LEFT(SUBSTITUTE(A153,CHAR(13),""),FIND(CHAR(10),SUBSTITUTE(A153,CHAR(13),"")&amp;CHAR(10))-1)),(FIND("~",SUBSTITUTE(LEFT((" "&amp;LEFT(SUBSTITUTE(A153,CHAR(13),""),FIND(CHAR(10),SUBSTITUTE(A153,CHAR(13),"")&amp;CHAR(10))-1)),FIND(".",(" "&amp;LEFT(SUBSTITUTE(A153,CHAR(13),""),FIND(CHAR(10),SUBSTITUTE(A153,CHAR(13),"")&amp;CHAR(10))-1))))," ","~",LEN(LEFT((" "&amp;LEFT(SUBSTITUTE(A153,CHAR(13),""),FIND(CHAR(10),SUBSTITUTE(A153,CHAR(13),"")&amp;CHAR(10))-1)),FIND(".",(" "&amp;LEFT(SUBSTITUTE(A153,CHAR(13),""),FIND(CHAR(10),SUBSTITUTE(A153,CHAR(13),"")&amp;CHAR(10))-1)))))-LEN(SUBSTITUTE(LEFT((" "&amp;LEFT(SUBSTITUTE(A153,CHAR(13),""),FIND(CHAR(10),SUBSTITUTE(A153,CHAR(13),"")&amp;CHAR(10))-1)),FIND(".",(" "&amp;LEFT(SUBSTITUTE(A153,CHAR(13),""),FIND(CHAR(10),SUBSTITUTE(A153,CHAR(13),"")&amp;CHAR(10))-1))))," ",""))))+1),FIND(" ",(" "&amp;LEFT(SUBSTITUTE(A153,CHAR(13),""),FIND(CHAR(10),SUBSTITUTE(A153,CHAR(13),"")&amp;CHAR(10))-1))&amp;" ",FIND(".",(" "&amp;LEFT(SUBSTITUTE(A153,CHAR(13),""),FIND(CHAR(10),SUBSTITUTE(A153,CHAR(13),"")&amp;CHAR(10))-1))))-(FIND("~",SUBSTITUTE(LEFT((" "&amp;LEFT(SUBSTITUTE(A153,CHAR(13),""),FIND(CHAR(10),SUBSTITUTE(A153,CHAR(13),"")&amp;CHAR(10))-1)),FIND(".",(" "&amp;LEFT(SUBSTITUTE(A153,CHAR(13),""),FIND(CHAR(10),SUBSTITUTE(A153,CHAR(13),"")&amp;CHAR(10))-1))))," ","~",LEN(LEFT((" "&amp;LEFT(SUBSTITUTE(A153,CHAR(13),""),FIND(CHAR(10),SUBSTITUTE(A153,CHAR(13),"")&amp;CHAR(10))-1)),FIND(".",(" "&amp;LEFT(SUBSTITUTE(A153,CHAR(13),""),FIND(CHAR(10),SUBSTITUTE(A153,CHAR(13),"")&amp;CHAR(10))-1)))))-LEN(SUBSTITUTE(LEFT((" "&amp;LEFT(SUBSTITUTE(A153,CHAR(13),""),FIND(CHAR(10),SUBSTITUTE(A153,CHAR(13),"")&amp;CHAR(10))-1)),FIND(".",(" "&amp;LEFT(SUBSTITUTE(A153,CHAR(13),""),FIND(CHAR(10),SUBSTITUTE(A153,CHAR(13),"")&amp;CHAR(10))-1))))," ",""))))+1)),""))</f>
        <v/>
      </c>
    </row>
    <row r="154" customFormat="false" ht="30" hidden="false" customHeight="true" outlineLevel="0" collapsed="false">
      <c r="A154" s="11" t="str">
        <f aca="false">IFERROR(INDEX(Pegar!$A$3:$A$1002,MATCH(150,Pegar!$B$3:$B$1002,0))&amp;IF(LEFT(INDEX(Pegar!$A$3:$A$1003,MATCH(150,Pegar!$B$3:$B$1002,0)+1),5)="DESC=",CHAR(10)&amp;INDEX(Pegar!$A$3:$A$1003,MATCH(150,Pegar!$B$3:$B$1002,0)+1),""),"")</f>
        <v/>
      </c>
      <c r="B154" s="12" t="str">
        <f aca="false">IF(TRIM(A154)="","",IFERROR(MID(SUBSTITUTE(SUBSTITUTE(A154,CHAR(10)," "),CHAR(13)," "),FIND(" MT"," "&amp;SUBSTITUTE(SUBSTITUTE(A154,CHAR(10)," "),CHAR(13)," ")),FIND(" ",SUBSTITUTE(SUBSTITUTE(A154,CHAR(10)," "),CHAR(13)," ")&amp;" ",FIND(" MT"," "&amp;SUBSTITUTE(SUBSTITUTE(A154,CHAR(10)," "),CHAR(13)," ")))-FIND(" MT"," "&amp;SUBSTITUTE(SUBSTITUTE(A154,CHAR(10)," "),CHAR(13)," "))),"MT no encontrado"))</f>
        <v/>
      </c>
      <c r="C154" s="15" t="str">
        <f aca="false">IF(TRIM(A154)="","",IF(D154="",FALSE(),SUBSTITUTE(SUBSTITUTE(SUBSTITUTE(D154,".",""),"0",""),"-","")&lt;&gt;""))</f>
        <v/>
      </c>
      <c r="D154" s="14" t="str">
        <f aca="false">IF(TRIM(A154)="","",IFERROR(MID((" "&amp;LEFT(SUBSTITUTE(A154,CHAR(13),""),FIND(CHAR(10),SUBSTITUTE(A154,CHAR(13),"")&amp;CHAR(10))-1)),(FIND("~",SUBSTITUTE(LEFT((" "&amp;LEFT(SUBSTITUTE(A154,CHAR(13),""),FIND(CHAR(10),SUBSTITUTE(A154,CHAR(13),"")&amp;CHAR(10))-1)),FIND(".",(" "&amp;LEFT(SUBSTITUTE(A154,CHAR(13),""),FIND(CHAR(10),SUBSTITUTE(A154,CHAR(13),"")&amp;CHAR(10))-1))))," ","~",LEN(LEFT((" "&amp;LEFT(SUBSTITUTE(A154,CHAR(13),""),FIND(CHAR(10),SUBSTITUTE(A154,CHAR(13),"")&amp;CHAR(10))-1)),FIND(".",(" "&amp;LEFT(SUBSTITUTE(A154,CHAR(13),""),FIND(CHAR(10),SUBSTITUTE(A154,CHAR(13),"")&amp;CHAR(10))-1)))))-LEN(SUBSTITUTE(LEFT((" "&amp;LEFT(SUBSTITUTE(A154,CHAR(13),""),FIND(CHAR(10),SUBSTITUTE(A154,CHAR(13),"")&amp;CHAR(10))-1)),FIND(".",(" "&amp;LEFT(SUBSTITUTE(A154,CHAR(13),""),FIND(CHAR(10),SUBSTITUTE(A154,CHAR(13),"")&amp;CHAR(10))-1))))," ",""))))+1),FIND(" ",(" "&amp;LEFT(SUBSTITUTE(A154,CHAR(13),""),FIND(CHAR(10),SUBSTITUTE(A154,CHAR(13),"")&amp;CHAR(10))-1))&amp;" ",FIND(".",(" "&amp;LEFT(SUBSTITUTE(A154,CHAR(13),""),FIND(CHAR(10),SUBSTITUTE(A154,CHAR(13),"")&amp;CHAR(10))-1))))-(FIND("~",SUBSTITUTE(LEFT((" "&amp;LEFT(SUBSTITUTE(A154,CHAR(13),""),FIND(CHAR(10),SUBSTITUTE(A154,CHAR(13),"")&amp;CHAR(10))-1)),FIND(".",(" "&amp;LEFT(SUBSTITUTE(A154,CHAR(13),""),FIND(CHAR(10),SUBSTITUTE(A154,CHAR(13),"")&amp;CHAR(10))-1))))," ","~",LEN(LEFT((" "&amp;LEFT(SUBSTITUTE(A154,CHAR(13),""),FIND(CHAR(10),SUBSTITUTE(A154,CHAR(13),"")&amp;CHAR(10))-1)),FIND(".",(" "&amp;LEFT(SUBSTITUTE(A154,CHAR(13),""),FIND(CHAR(10),SUBSTITUTE(A154,CHAR(13),"")&amp;CHAR(10))-1)))))-LEN(SUBSTITUTE(LEFT((" "&amp;LEFT(SUBSTITUTE(A154,CHAR(13),""),FIND(CHAR(10),SUBSTITUTE(A154,CHAR(13),"")&amp;CHAR(10))-1)),FIND(".",(" "&amp;LEFT(SUBSTITUTE(A154,CHAR(13),""),FIND(CHAR(10),SUBSTITUTE(A154,CHAR(13),"")&amp;CHAR(10))-1))))," ",""))))+1)),""))</f>
        <v/>
      </c>
    </row>
    <row r="155" customFormat="false" ht="30" hidden="false" customHeight="true" outlineLevel="0" collapsed="false">
      <c r="A155" s="11" t="str">
        <f aca="false">IFERROR(INDEX(Pegar!$A$3:$A$1002,MATCH(151,Pegar!$B$3:$B$1002,0))&amp;IF(LEFT(INDEX(Pegar!$A$3:$A$1003,MATCH(151,Pegar!$B$3:$B$1002,0)+1),5)="DESC=",CHAR(10)&amp;INDEX(Pegar!$A$3:$A$1003,MATCH(151,Pegar!$B$3:$B$1002,0)+1),""),"")</f>
        <v/>
      </c>
      <c r="B155" s="12" t="str">
        <f aca="false">IF(TRIM(A155)="","",IFERROR(MID(SUBSTITUTE(SUBSTITUTE(A155,CHAR(10)," "),CHAR(13)," "),FIND(" MT"," "&amp;SUBSTITUTE(SUBSTITUTE(A155,CHAR(10)," "),CHAR(13)," ")),FIND(" ",SUBSTITUTE(SUBSTITUTE(A155,CHAR(10)," "),CHAR(13)," ")&amp;" ",FIND(" MT"," "&amp;SUBSTITUTE(SUBSTITUTE(A155,CHAR(10)," "),CHAR(13)," ")))-FIND(" MT"," "&amp;SUBSTITUTE(SUBSTITUTE(A155,CHAR(10)," "),CHAR(13)," "))),"MT no encontrado"))</f>
        <v/>
      </c>
      <c r="C155" s="15" t="str">
        <f aca="false">IF(TRIM(A155)="","",IF(D155="",FALSE(),SUBSTITUTE(SUBSTITUTE(SUBSTITUTE(D155,".",""),"0",""),"-","")&lt;&gt;""))</f>
        <v/>
      </c>
      <c r="D155" s="14" t="str">
        <f aca="false">IF(TRIM(A155)="","",IFERROR(MID((" "&amp;LEFT(SUBSTITUTE(A155,CHAR(13),""),FIND(CHAR(10),SUBSTITUTE(A155,CHAR(13),"")&amp;CHAR(10))-1)),(FIND("~",SUBSTITUTE(LEFT((" "&amp;LEFT(SUBSTITUTE(A155,CHAR(13),""),FIND(CHAR(10),SUBSTITUTE(A155,CHAR(13),"")&amp;CHAR(10))-1)),FIND(".",(" "&amp;LEFT(SUBSTITUTE(A155,CHAR(13),""),FIND(CHAR(10),SUBSTITUTE(A155,CHAR(13),"")&amp;CHAR(10))-1))))," ","~",LEN(LEFT((" "&amp;LEFT(SUBSTITUTE(A155,CHAR(13),""),FIND(CHAR(10),SUBSTITUTE(A155,CHAR(13),"")&amp;CHAR(10))-1)),FIND(".",(" "&amp;LEFT(SUBSTITUTE(A155,CHAR(13),""),FIND(CHAR(10),SUBSTITUTE(A155,CHAR(13),"")&amp;CHAR(10))-1)))))-LEN(SUBSTITUTE(LEFT((" "&amp;LEFT(SUBSTITUTE(A155,CHAR(13),""),FIND(CHAR(10),SUBSTITUTE(A155,CHAR(13),"")&amp;CHAR(10))-1)),FIND(".",(" "&amp;LEFT(SUBSTITUTE(A155,CHAR(13),""),FIND(CHAR(10),SUBSTITUTE(A155,CHAR(13),"")&amp;CHAR(10))-1))))," ",""))))+1),FIND(" ",(" "&amp;LEFT(SUBSTITUTE(A155,CHAR(13),""),FIND(CHAR(10),SUBSTITUTE(A155,CHAR(13),"")&amp;CHAR(10))-1))&amp;" ",FIND(".",(" "&amp;LEFT(SUBSTITUTE(A155,CHAR(13),""),FIND(CHAR(10),SUBSTITUTE(A155,CHAR(13),"")&amp;CHAR(10))-1))))-(FIND("~",SUBSTITUTE(LEFT((" "&amp;LEFT(SUBSTITUTE(A155,CHAR(13),""),FIND(CHAR(10),SUBSTITUTE(A155,CHAR(13),"")&amp;CHAR(10))-1)),FIND(".",(" "&amp;LEFT(SUBSTITUTE(A155,CHAR(13),""),FIND(CHAR(10),SUBSTITUTE(A155,CHAR(13),"")&amp;CHAR(10))-1))))," ","~",LEN(LEFT((" "&amp;LEFT(SUBSTITUTE(A155,CHAR(13),""),FIND(CHAR(10),SUBSTITUTE(A155,CHAR(13),"")&amp;CHAR(10))-1)),FIND(".",(" "&amp;LEFT(SUBSTITUTE(A155,CHAR(13),""),FIND(CHAR(10),SUBSTITUTE(A155,CHAR(13),"")&amp;CHAR(10))-1)))))-LEN(SUBSTITUTE(LEFT((" "&amp;LEFT(SUBSTITUTE(A155,CHAR(13),""),FIND(CHAR(10),SUBSTITUTE(A155,CHAR(13),"")&amp;CHAR(10))-1)),FIND(".",(" "&amp;LEFT(SUBSTITUTE(A155,CHAR(13),""),FIND(CHAR(10),SUBSTITUTE(A155,CHAR(13),"")&amp;CHAR(10))-1))))," ",""))))+1)),""))</f>
        <v/>
      </c>
    </row>
    <row r="156" customFormat="false" ht="30" hidden="false" customHeight="true" outlineLevel="0" collapsed="false">
      <c r="A156" s="11" t="str">
        <f aca="false">IFERROR(INDEX(Pegar!$A$3:$A$1002,MATCH(152,Pegar!$B$3:$B$1002,0))&amp;IF(LEFT(INDEX(Pegar!$A$3:$A$1003,MATCH(152,Pegar!$B$3:$B$1002,0)+1),5)="DESC=",CHAR(10)&amp;INDEX(Pegar!$A$3:$A$1003,MATCH(152,Pegar!$B$3:$B$1002,0)+1),""),"")</f>
        <v/>
      </c>
      <c r="B156" s="12" t="str">
        <f aca="false">IF(TRIM(A156)="","",IFERROR(MID(SUBSTITUTE(SUBSTITUTE(A156,CHAR(10)," "),CHAR(13)," "),FIND(" MT"," "&amp;SUBSTITUTE(SUBSTITUTE(A156,CHAR(10)," "),CHAR(13)," ")),FIND(" ",SUBSTITUTE(SUBSTITUTE(A156,CHAR(10)," "),CHAR(13)," ")&amp;" ",FIND(" MT"," "&amp;SUBSTITUTE(SUBSTITUTE(A156,CHAR(10)," "),CHAR(13)," ")))-FIND(" MT"," "&amp;SUBSTITUTE(SUBSTITUTE(A156,CHAR(10)," "),CHAR(13)," "))),"MT no encontrado"))</f>
        <v/>
      </c>
      <c r="C156" s="15" t="str">
        <f aca="false">IF(TRIM(A156)="","",IF(D156="",FALSE(),SUBSTITUTE(SUBSTITUTE(SUBSTITUTE(D156,".",""),"0",""),"-","")&lt;&gt;""))</f>
        <v/>
      </c>
      <c r="D156" s="14" t="str">
        <f aca="false">IF(TRIM(A156)="","",IFERROR(MID((" "&amp;LEFT(SUBSTITUTE(A156,CHAR(13),""),FIND(CHAR(10),SUBSTITUTE(A156,CHAR(13),"")&amp;CHAR(10))-1)),(FIND("~",SUBSTITUTE(LEFT((" "&amp;LEFT(SUBSTITUTE(A156,CHAR(13),""),FIND(CHAR(10),SUBSTITUTE(A156,CHAR(13),"")&amp;CHAR(10))-1)),FIND(".",(" "&amp;LEFT(SUBSTITUTE(A156,CHAR(13),""),FIND(CHAR(10),SUBSTITUTE(A156,CHAR(13),"")&amp;CHAR(10))-1))))," ","~",LEN(LEFT((" "&amp;LEFT(SUBSTITUTE(A156,CHAR(13),""),FIND(CHAR(10),SUBSTITUTE(A156,CHAR(13),"")&amp;CHAR(10))-1)),FIND(".",(" "&amp;LEFT(SUBSTITUTE(A156,CHAR(13),""),FIND(CHAR(10),SUBSTITUTE(A156,CHAR(13),"")&amp;CHAR(10))-1)))))-LEN(SUBSTITUTE(LEFT((" "&amp;LEFT(SUBSTITUTE(A156,CHAR(13),""),FIND(CHAR(10),SUBSTITUTE(A156,CHAR(13),"")&amp;CHAR(10))-1)),FIND(".",(" "&amp;LEFT(SUBSTITUTE(A156,CHAR(13),""),FIND(CHAR(10),SUBSTITUTE(A156,CHAR(13),"")&amp;CHAR(10))-1))))," ",""))))+1),FIND(" ",(" "&amp;LEFT(SUBSTITUTE(A156,CHAR(13),""),FIND(CHAR(10),SUBSTITUTE(A156,CHAR(13),"")&amp;CHAR(10))-1))&amp;" ",FIND(".",(" "&amp;LEFT(SUBSTITUTE(A156,CHAR(13),""),FIND(CHAR(10),SUBSTITUTE(A156,CHAR(13),"")&amp;CHAR(10))-1))))-(FIND("~",SUBSTITUTE(LEFT((" "&amp;LEFT(SUBSTITUTE(A156,CHAR(13),""),FIND(CHAR(10),SUBSTITUTE(A156,CHAR(13),"")&amp;CHAR(10))-1)),FIND(".",(" "&amp;LEFT(SUBSTITUTE(A156,CHAR(13),""),FIND(CHAR(10),SUBSTITUTE(A156,CHAR(13),"")&amp;CHAR(10))-1))))," ","~",LEN(LEFT((" "&amp;LEFT(SUBSTITUTE(A156,CHAR(13),""),FIND(CHAR(10),SUBSTITUTE(A156,CHAR(13),"")&amp;CHAR(10))-1)),FIND(".",(" "&amp;LEFT(SUBSTITUTE(A156,CHAR(13),""),FIND(CHAR(10),SUBSTITUTE(A156,CHAR(13),"")&amp;CHAR(10))-1)))))-LEN(SUBSTITUTE(LEFT((" "&amp;LEFT(SUBSTITUTE(A156,CHAR(13),""),FIND(CHAR(10),SUBSTITUTE(A156,CHAR(13),"")&amp;CHAR(10))-1)),FIND(".",(" "&amp;LEFT(SUBSTITUTE(A156,CHAR(13),""),FIND(CHAR(10),SUBSTITUTE(A156,CHAR(13),"")&amp;CHAR(10))-1))))," ",""))))+1)),""))</f>
        <v/>
      </c>
    </row>
    <row r="157" customFormat="false" ht="30" hidden="false" customHeight="true" outlineLevel="0" collapsed="false">
      <c r="A157" s="11" t="str">
        <f aca="false">IFERROR(INDEX(Pegar!$A$3:$A$1002,MATCH(153,Pegar!$B$3:$B$1002,0))&amp;IF(LEFT(INDEX(Pegar!$A$3:$A$1003,MATCH(153,Pegar!$B$3:$B$1002,0)+1),5)="DESC=",CHAR(10)&amp;INDEX(Pegar!$A$3:$A$1003,MATCH(153,Pegar!$B$3:$B$1002,0)+1),""),"")</f>
        <v/>
      </c>
      <c r="B157" s="12" t="str">
        <f aca="false">IF(TRIM(A157)="","",IFERROR(MID(SUBSTITUTE(SUBSTITUTE(A157,CHAR(10)," "),CHAR(13)," "),FIND(" MT"," "&amp;SUBSTITUTE(SUBSTITUTE(A157,CHAR(10)," "),CHAR(13)," ")),FIND(" ",SUBSTITUTE(SUBSTITUTE(A157,CHAR(10)," "),CHAR(13)," ")&amp;" ",FIND(" MT"," "&amp;SUBSTITUTE(SUBSTITUTE(A157,CHAR(10)," "),CHAR(13)," ")))-FIND(" MT"," "&amp;SUBSTITUTE(SUBSTITUTE(A157,CHAR(10)," "),CHAR(13)," "))),"MT no encontrado"))</f>
        <v/>
      </c>
      <c r="C157" s="15" t="str">
        <f aca="false">IF(TRIM(A157)="","",IF(D157="",FALSE(),SUBSTITUTE(SUBSTITUTE(SUBSTITUTE(D157,".",""),"0",""),"-","")&lt;&gt;""))</f>
        <v/>
      </c>
      <c r="D157" s="14" t="str">
        <f aca="false">IF(TRIM(A157)="","",IFERROR(MID((" "&amp;LEFT(SUBSTITUTE(A157,CHAR(13),""),FIND(CHAR(10),SUBSTITUTE(A157,CHAR(13),"")&amp;CHAR(10))-1)),(FIND("~",SUBSTITUTE(LEFT((" "&amp;LEFT(SUBSTITUTE(A157,CHAR(13),""),FIND(CHAR(10),SUBSTITUTE(A157,CHAR(13),"")&amp;CHAR(10))-1)),FIND(".",(" "&amp;LEFT(SUBSTITUTE(A157,CHAR(13),""),FIND(CHAR(10),SUBSTITUTE(A157,CHAR(13),"")&amp;CHAR(10))-1))))," ","~",LEN(LEFT((" "&amp;LEFT(SUBSTITUTE(A157,CHAR(13),""),FIND(CHAR(10),SUBSTITUTE(A157,CHAR(13),"")&amp;CHAR(10))-1)),FIND(".",(" "&amp;LEFT(SUBSTITUTE(A157,CHAR(13),""),FIND(CHAR(10),SUBSTITUTE(A157,CHAR(13),"")&amp;CHAR(10))-1)))))-LEN(SUBSTITUTE(LEFT((" "&amp;LEFT(SUBSTITUTE(A157,CHAR(13),""),FIND(CHAR(10),SUBSTITUTE(A157,CHAR(13),"")&amp;CHAR(10))-1)),FIND(".",(" "&amp;LEFT(SUBSTITUTE(A157,CHAR(13),""),FIND(CHAR(10),SUBSTITUTE(A157,CHAR(13),"")&amp;CHAR(10))-1))))," ",""))))+1),FIND(" ",(" "&amp;LEFT(SUBSTITUTE(A157,CHAR(13),""),FIND(CHAR(10),SUBSTITUTE(A157,CHAR(13),"")&amp;CHAR(10))-1))&amp;" ",FIND(".",(" "&amp;LEFT(SUBSTITUTE(A157,CHAR(13),""),FIND(CHAR(10),SUBSTITUTE(A157,CHAR(13),"")&amp;CHAR(10))-1))))-(FIND("~",SUBSTITUTE(LEFT((" "&amp;LEFT(SUBSTITUTE(A157,CHAR(13),""),FIND(CHAR(10),SUBSTITUTE(A157,CHAR(13),"")&amp;CHAR(10))-1)),FIND(".",(" "&amp;LEFT(SUBSTITUTE(A157,CHAR(13),""),FIND(CHAR(10),SUBSTITUTE(A157,CHAR(13),"")&amp;CHAR(10))-1))))," ","~",LEN(LEFT((" "&amp;LEFT(SUBSTITUTE(A157,CHAR(13),""),FIND(CHAR(10),SUBSTITUTE(A157,CHAR(13),"")&amp;CHAR(10))-1)),FIND(".",(" "&amp;LEFT(SUBSTITUTE(A157,CHAR(13),""),FIND(CHAR(10),SUBSTITUTE(A157,CHAR(13),"")&amp;CHAR(10))-1)))))-LEN(SUBSTITUTE(LEFT((" "&amp;LEFT(SUBSTITUTE(A157,CHAR(13),""),FIND(CHAR(10),SUBSTITUTE(A157,CHAR(13),"")&amp;CHAR(10))-1)),FIND(".",(" "&amp;LEFT(SUBSTITUTE(A157,CHAR(13),""),FIND(CHAR(10),SUBSTITUTE(A157,CHAR(13),"")&amp;CHAR(10))-1))))," ",""))))+1)),""))</f>
        <v/>
      </c>
    </row>
    <row r="158" customFormat="false" ht="30" hidden="false" customHeight="true" outlineLevel="0" collapsed="false">
      <c r="A158" s="11" t="str">
        <f aca="false">IFERROR(INDEX(Pegar!$A$3:$A$1002,MATCH(154,Pegar!$B$3:$B$1002,0))&amp;IF(LEFT(INDEX(Pegar!$A$3:$A$1003,MATCH(154,Pegar!$B$3:$B$1002,0)+1),5)="DESC=",CHAR(10)&amp;INDEX(Pegar!$A$3:$A$1003,MATCH(154,Pegar!$B$3:$B$1002,0)+1),""),"")</f>
        <v/>
      </c>
      <c r="B158" s="12" t="str">
        <f aca="false">IF(TRIM(A158)="","",IFERROR(MID(SUBSTITUTE(SUBSTITUTE(A158,CHAR(10)," "),CHAR(13)," "),FIND(" MT"," "&amp;SUBSTITUTE(SUBSTITUTE(A158,CHAR(10)," "),CHAR(13)," ")),FIND(" ",SUBSTITUTE(SUBSTITUTE(A158,CHAR(10)," "),CHAR(13)," ")&amp;" ",FIND(" MT"," "&amp;SUBSTITUTE(SUBSTITUTE(A158,CHAR(10)," "),CHAR(13)," ")))-FIND(" MT"," "&amp;SUBSTITUTE(SUBSTITUTE(A158,CHAR(10)," "),CHAR(13)," "))),"MT no encontrado"))</f>
        <v/>
      </c>
      <c r="C158" s="15" t="str">
        <f aca="false">IF(TRIM(A158)="","",IF(D158="",FALSE(),SUBSTITUTE(SUBSTITUTE(SUBSTITUTE(D158,".",""),"0",""),"-","")&lt;&gt;""))</f>
        <v/>
      </c>
      <c r="D158" s="14" t="str">
        <f aca="false">IF(TRIM(A158)="","",IFERROR(MID((" "&amp;LEFT(SUBSTITUTE(A158,CHAR(13),""),FIND(CHAR(10),SUBSTITUTE(A158,CHAR(13),"")&amp;CHAR(10))-1)),(FIND("~",SUBSTITUTE(LEFT((" "&amp;LEFT(SUBSTITUTE(A158,CHAR(13),""),FIND(CHAR(10),SUBSTITUTE(A158,CHAR(13),"")&amp;CHAR(10))-1)),FIND(".",(" "&amp;LEFT(SUBSTITUTE(A158,CHAR(13),""),FIND(CHAR(10),SUBSTITUTE(A158,CHAR(13),"")&amp;CHAR(10))-1))))," ","~",LEN(LEFT((" "&amp;LEFT(SUBSTITUTE(A158,CHAR(13),""),FIND(CHAR(10),SUBSTITUTE(A158,CHAR(13),"")&amp;CHAR(10))-1)),FIND(".",(" "&amp;LEFT(SUBSTITUTE(A158,CHAR(13),""),FIND(CHAR(10),SUBSTITUTE(A158,CHAR(13),"")&amp;CHAR(10))-1)))))-LEN(SUBSTITUTE(LEFT((" "&amp;LEFT(SUBSTITUTE(A158,CHAR(13),""),FIND(CHAR(10),SUBSTITUTE(A158,CHAR(13),"")&amp;CHAR(10))-1)),FIND(".",(" "&amp;LEFT(SUBSTITUTE(A158,CHAR(13),""),FIND(CHAR(10),SUBSTITUTE(A158,CHAR(13),"")&amp;CHAR(10))-1))))," ",""))))+1),FIND(" ",(" "&amp;LEFT(SUBSTITUTE(A158,CHAR(13),""),FIND(CHAR(10),SUBSTITUTE(A158,CHAR(13),"")&amp;CHAR(10))-1))&amp;" ",FIND(".",(" "&amp;LEFT(SUBSTITUTE(A158,CHAR(13),""),FIND(CHAR(10),SUBSTITUTE(A158,CHAR(13),"")&amp;CHAR(10))-1))))-(FIND("~",SUBSTITUTE(LEFT((" "&amp;LEFT(SUBSTITUTE(A158,CHAR(13),""),FIND(CHAR(10),SUBSTITUTE(A158,CHAR(13),"")&amp;CHAR(10))-1)),FIND(".",(" "&amp;LEFT(SUBSTITUTE(A158,CHAR(13),""),FIND(CHAR(10),SUBSTITUTE(A158,CHAR(13),"")&amp;CHAR(10))-1))))," ","~",LEN(LEFT((" "&amp;LEFT(SUBSTITUTE(A158,CHAR(13),""),FIND(CHAR(10),SUBSTITUTE(A158,CHAR(13),"")&amp;CHAR(10))-1)),FIND(".",(" "&amp;LEFT(SUBSTITUTE(A158,CHAR(13),""),FIND(CHAR(10),SUBSTITUTE(A158,CHAR(13),"")&amp;CHAR(10))-1)))))-LEN(SUBSTITUTE(LEFT((" "&amp;LEFT(SUBSTITUTE(A158,CHAR(13),""),FIND(CHAR(10),SUBSTITUTE(A158,CHAR(13),"")&amp;CHAR(10))-1)),FIND(".",(" "&amp;LEFT(SUBSTITUTE(A158,CHAR(13),""),FIND(CHAR(10),SUBSTITUTE(A158,CHAR(13),"")&amp;CHAR(10))-1))))," ",""))))+1)),""))</f>
        <v/>
      </c>
    </row>
    <row r="159" customFormat="false" ht="30" hidden="false" customHeight="true" outlineLevel="0" collapsed="false">
      <c r="A159" s="11" t="str">
        <f aca="false">IFERROR(INDEX(Pegar!$A$3:$A$1002,MATCH(155,Pegar!$B$3:$B$1002,0))&amp;IF(LEFT(INDEX(Pegar!$A$3:$A$1003,MATCH(155,Pegar!$B$3:$B$1002,0)+1),5)="DESC=",CHAR(10)&amp;INDEX(Pegar!$A$3:$A$1003,MATCH(155,Pegar!$B$3:$B$1002,0)+1),""),"")</f>
        <v/>
      </c>
      <c r="B159" s="12" t="str">
        <f aca="false">IF(TRIM(A159)="","",IFERROR(MID(SUBSTITUTE(SUBSTITUTE(A159,CHAR(10)," "),CHAR(13)," "),FIND(" MT"," "&amp;SUBSTITUTE(SUBSTITUTE(A159,CHAR(10)," "),CHAR(13)," ")),FIND(" ",SUBSTITUTE(SUBSTITUTE(A159,CHAR(10)," "),CHAR(13)," ")&amp;" ",FIND(" MT"," "&amp;SUBSTITUTE(SUBSTITUTE(A159,CHAR(10)," "),CHAR(13)," ")))-FIND(" MT"," "&amp;SUBSTITUTE(SUBSTITUTE(A159,CHAR(10)," "),CHAR(13)," "))),"MT no encontrado"))</f>
        <v/>
      </c>
      <c r="C159" s="15" t="str">
        <f aca="false">IF(TRIM(A159)="","",IF(D159="",FALSE(),SUBSTITUTE(SUBSTITUTE(SUBSTITUTE(D159,".",""),"0",""),"-","")&lt;&gt;""))</f>
        <v/>
      </c>
      <c r="D159" s="14" t="str">
        <f aca="false">IF(TRIM(A159)="","",IFERROR(MID((" "&amp;LEFT(SUBSTITUTE(A159,CHAR(13),""),FIND(CHAR(10),SUBSTITUTE(A159,CHAR(13),"")&amp;CHAR(10))-1)),(FIND("~",SUBSTITUTE(LEFT((" "&amp;LEFT(SUBSTITUTE(A159,CHAR(13),""),FIND(CHAR(10),SUBSTITUTE(A159,CHAR(13),"")&amp;CHAR(10))-1)),FIND(".",(" "&amp;LEFT(SUBSTITUTE(A159,CHAR(13),""),FIND(CHAR(10),SUBSTITUTE(A159,CHAR(13),"")&amp;CHAR(10))-1))))," ","~",LEN(LEFT((" "&amp;LEFT(SUBSTITUTE(A159,CHAR(13),""),FIND(CHAR(10),SUBSTITUTE(A159,CHAR(13),"")&amp;CHAR(10))-1)),FIND(".",(" "&amp;LEFT(SUBSTITUTE(A159,CHAR(13),""),FIND(CHAR(10),SUBSTITUTE(A159,CHAR(13),"")&amp;CHAR(10))-1)))))-LEN(SUBSTITUTE(LEFT((" "&amp;LEFT(SUBSTITUTE(A159,CHAR(13),""),FIND(CHAR(10),SUBSTITUTE(A159,CHAR(13),"")&amp;CHAR(10))-1)),FIND(".",(" "&amp;LEFT(SUBSTITUTE(A159,CHAR(13),""),FIND(CHAR(10),SUBSTITUTE(A159,CHAR(13),"")&amp;CHAR(10))-1))))," ",""))))+1),FIND(" ",(" "&amp;LEFT(SUBSTITUTE(A159,CHAR(13),""),FIND(CHAR(10),SUBSTITUTE(A159,CHAR(13),"")&amp;CHAR(10))-1))&amp;" ",FIND(".",(" "&amp;LEFT(SUBSTITUTE(A159,CHAR(13),""),FIND(CHAR(10),SUBSTITUTE(A159,CHAR(13),"")&amp;CHAR(10))-1))))-(FIND("~",SUBSTITUTE(LEFT((" "&amp;LEFT(SUBSTITUTE(A159,CHAR(13),""),FIND(CHAR(10),SUBSTITUTE(A159,CHAR(13),"")&amp;CHAR(10))-1)),FIND(".",(" "&amp;LEFT(SUBSTITUTE(A159,CHAR(13),""),FIND(CHAR(10),SUBSTITUTE(A159,CHAR(13),"")&amp;CHAR(10))-1))))," ","~",LEN(LEFT((" "&amp;LEFT(SUBSTITUTE(A159,CHAR(13),""),FIND(CHAR(10),SUBSTITUTE(A159,CHAR(13),"")&amp;CHAR(10))-1)),FIND(".",(" "&amp;LEFT(SUBSTITUTE(A159,CHAR(13),""),FIND(CHAR(10),SUBSTITUTE(A159,CHAR(13),"")&amp;CHAR(10))-1)))))-LEN(SUBSTITUTE(LEFT((" "&amp;LEFT(SUBSTITUTE(A159,CHAR(13),""),FIND(CHAR(10),SUBSTITUTE(A159,CHAR(13),"")&amp;CHAR(10))-1)),FIND(".",(" "&amp;LEFT(SUBSTITUTE(A159,CHAR(13),""),FIND(CHAR(10),SUBSTITUTE(A159,CHAR(13),"")&amp;CHAR(10))-1))))," ",""))))+1)),""))</f>
        <v/>
      </c>
    </row>
    <row r="160" customFormat="false" ht="30" hidden="false" customHeight="true" outlineLevel="0" collapsed="false">
      <c r="A160" s="11" t="str">
        <f aca="false">IFERROR(INDEX(Pegar!$A$3:$A$1002,MATCH(156,Pegar!$B$3:$B$1002,0))&amp;IF(LEFT(INDEX(Pegar!$A$3:$A$1003,MATCH(156,Pegar!$B$3:$B$1002,0)+1),5)="DESC=",CHAR(10)&amp;INDEX(Pegar!$A$3:$A$1003,MATCH(156,Pegar!$B$3:$B$1002,0)+1),""),"")</f>
        <v/>
      </c>
      <c r="B160" s="12" t="str">
        <f aca="false">IF(TRIM(A160)="","",IFERROR(MID(SUBSTITUTE(SUBSTITUTE(A160,CHAR(10)," "),CHAR(13)," "),FIND(" MT"," "&amp;SUBSTITUTE(SUBSTITUTE(A160,CHAR(10)," "),CHAR(13)," ")),FIND(" ",SUBSTITUTE(SUBSTITUTE(A160,CHAR(10)," "),CHAR(13)," ")&amp;" ",FIND(" MT"," "&amp;SUBSTITUTE(SUBSTITUTE(A160,CHAR(10)," "),CHAR(13)," ")))-FIND(" MT"," "&amp;SUBSTITUTE(SUBSTITUTE(A160,CHAR(10)," "),CHAR(13)," "))),"MT no encontrado"))</f>
        <v/>
      </c>
      <c r="C160" s="15" t="str">
        <f aca="false">IF(TRIM(A160)="","",IF(D160="",FALSE(),SUBSTITUTE(SUBSTITUTE(SUBSTITUTE(D160,".",""),"0",""),"-","")&lt;&gt;""))</f>
        <v/>
      </c>
      <c r="D160" s="14" t="str">
        <f aca="false">IF(TRIM(A160)="","",IFERROR(MID((" "&amp;LEFT(SUBSTITUTE(A160,CHAR(13),""),FIND(CHAR(10),SUBSTITUTE(A160,CHAR(13),"")&amp;CHAR(10))-1)),(FIND("~",SUBSTITUTE(LEFT((" "&amp;LEFT(SUBSTITUTE(A160,CHAR(13),""),FIND(CHAR(10),SUBSTITUTE(A160,CHAR(13),"")&amp;CHAR(10))-1)),FIND(".",(" "&amp;LEFT(SUBSTITUTE(A160,CHAR(13),""),FIND(CHAR(10),SUBSTITUTE(A160,CHAR(13),"")&amp;CHAR(10))-1))))," ","~",LEN(LEFT((" "&amp;LEFT(SUBSTITUTE(A160,CHAR(13),""),FIND(CHAR(10),SUBSTITUTE(A160,CHAR(13),"")&amp;CHAR(10))-1)),FIND(".",(" "&amp;LEFT(SUBSTITUTE(A160,CHAR(13),""),FIND(CHAR(10),SUBSTITUTE(A160,CHAR(13),"")&amp;CHAR(10))-1)))))-LEN(SUBSTITUTE(LEFT((" "&amp;LEFT(SUBSTITUTE(A160,CHAR(13),""),FIND(CHAR(10),SUBSTITUTE(A160,CHAR(13),"")&amp;CHAR(10))-1)),FIND(".",(" "&amp;LEFT(SUBSTITUTE(A160,CHAR(13),""),FIND(CHAR(10),SUBSTITUTE(A160,CHAR(13),"")&amp;CHAR(10))-1))))," ",""))))+1),FIND(" ",(" "&amp;LEFT(SUBSTITUTE(A160,CHAR(13),""),FIND(CHAR(10),SUBSTITUTE(A160,CHAR(13),"")&amp;CHAR(10))-1))&amp;" ",FIND(".",(" "&amp;LEFT(SUBSTITUTE(A160,CHAR(13),""),FIND(CHAR(10),SUBSTITUTE(A160,CHAR(13),"")&amp;CHAR(10))-1))))-(FIND("~",SUBSTITUTE(LEFT((" "&amp;LEFT(SUBSTITUTE(A160,CHAR(13),""),FIND(CHAR(10),SUBSTITUTE(A160,CHAR(13),"")&amp;CHAR(10))-1)),FIND(".",(" "&amp;LEFT(SUBSTITUTE(A160,CHAR(13),""),FIND(CHAR(10),SUBSTITUTE(A160,CHAR(13),"")&amp;CHAR(10))-1))))," ","~",LEN(LEFT((" "&amp;LEFT(SUBSTITUTE(A160,CHAR(13),""),FIND(CHAR(10),SUBSTITUTE(A160,CHAR(13),"")&amp;CHAR(10))-1)),FIND(".",(" "&amp;LEFT(SUBSTITUTE(A160,CHAR(13),""),FIND(CHAR(10),SUBSTITUTE(A160,CHAR(13),"")&amp;CHAR(10))-1)))))-LEN(SUBSTITUTE(LEFT((" "&amp;LEFT(SUBSTITUTE(A160,CHAR(13),""),FIND(CHAR(10),SUBSTITUTE(A160,CHAR(13),"")&amp;CHAR(10))-1)),FIND(".",(" "&amp;LEFT(SUBSTITUTE(A160,CHAR(13),""),FIND(CHAR(10),SUBSTITUTE(A160,CHAR(13),"")&amp;CHAR(10))-1))))," ",""))))+1)),""))</f>
        <v/>
      </c>
    </row>
    <row r="161" customFormat="false" ht="30" hidden="false" customHeight="true" outlineLevel="0" collapsed="false">
      <c r="A161" s="11" t="str">
        <f aca="false">IFERROR(INDEX(Pegar!$A$3:$A$1002,MATCH(157,Pegar!$B$3:$B$1002,0))&amp;IF(LEFT(INDEX(Pegar!$A$3:$A$1003,MATCH(157,Pegar!$B$3:$B$1002,0)+1),5)="DESC=",CHAR(10)&amp;INDEX(Pegar!$A$3:$A$1003,MATCH(157,Pegar!$B$3:$B$1002,0)+1),""),"")</f>
        <v/>
      </c>
      <c r="B161" s="12" t="str">
        <f aca="false">IF(TRIM(A161)="","",IFERROR(MID(SUBSTITUTE(SUBSTITUTE(A161,CHAR(10)," "),CHAR(13)," "),FIND(" MT"," "&amp;SUBSTITUTE(SUBSTITUTE(A161,CHAR(10)," "),CHAR(13)," ")),FIND(" ",SUBSTITUTE(SUBSTITUTE(A161,CHAR(10)," "),CHAR(13)," ")&amp;" ",FIND(" MT"," "&amp;SUBSTITUTE(SUBSTITUTE(A161,CHAR(10)," "),CHAR(13)," ")))-FIND(" MT"," "&amp;SUBSTITUTE(SUBSTITUTE(A161,CHAR(10)," "),CHAR(13)," "))),"MT no encontrado"))</f>
        <v/>
      </c>
      <c r="C161" s="15" t="str">
        <f aca="false">IF(TRIM(A161)="","",IF(D161="",FALSE(),SUBSTITUTE(SUBSTITUTE(SUBSTITUTE(D161,".",""),"0",""),"-","")&lt;&gt;""))</f>
        <v/>
      </c>
      <c r="D161" s="14" t="str">
        <f aca="false">IF(TRIM(A161)="","",IFERROR(MID((" "&amp;LEFT(SUBSTITUTE(A161,CHAR(13),""),FIND(CHAR(10),SUBSTITUTE(A161,CHAR(13),"")&amp;CHAR(10))-1)),(FIND("~",SUBSTITUTE(LEFT((" "&amp;LEFT(SUBSTITUTE(A161,CHAR(13),""),FIND(CHAR(10),SUBSTITUTE(A161,CHAR(13),"")&amp;CHAR(10))-1)),FIND(".",(" "&amp;LEFT(SUBSTITUTE(A161,CHAR(13),""),FIND(CHAR(10),SUBSTITUTE(A161,CHAR(13),"")&amp;CHAR(10))-1))))," ","~",LEN(LEFT((" "&amp;LEFT(SUBSTITUTE(A161,CHAR(13),""),FIND(CHAR(10),SUBSTITUTE(A161,CHAR(13),"")&amp;CHAR(10))-1)),FIND(".",(" "&amp;LEFT(SUBSTITUTE(A161,CHAR(13),""),FIND(CHAR(10),SUBSTITUTE(A161,CHAR(13),"")&amp;CHAR(10))-1)))))-LEN(SUBSTITUTE(LEFT((" "&amp;LEFT(SUBSTITUTE(A161,CHAR(13),""),FIND(CHAR(10),SUBSTITUTE(A161,CHAR(13),"")&amp;CHAR(10))-1)),FIND(".",(" "&amp;LEFT(SUBSTITUTE(A161,CHAR(13),""),FIND(CHAR(10),SUBSTITUTE(A161,CHAR(13),"")&amp;CHAR(10))-1))))," ",""))))+1),FIND(" ",(" "&amp;LEFT(SUBSTITUTE(A161,CHAR(13),""),FIND(CHAR(10),SUBSTITUTE(A161,CHAR(13),"")&amp;CHAR(10))-1))&amp;" ",FIND(".",(" "&amp;LEFT(SUBSTITUTE(A161,CHAR(13),""),FIND(CHAR(10),SUBSTITUTE(A161,CHAR(13),"")&amp;CHAR(10))-1))))-(FIND("~",SUBSTITUTE(LEFT((" "&amp;LEFT(SUBSTITUTE(A161,CHAR(13),""),FIND(CHAR(10),SUBSTITUTE(A161,CHAR(13),"")&amp;CHAR(10))-1)),FIND(".",(" "&amp;LEFT(SUBSTITUTE(A161,CHAR(13),""),FIND(CHAR(10),SUBSTITUTE(A161,CHAR(13),"")&amp;CHAR(10))-1))))," ","~",LEN(LEFT((" "&amp;LEFT(SUBSTITUTE(A161,CHAR(13),""),FIND(CHAR(10),SUBSTITUTE(A161,CHAR(13),"")&amp;CHAR(10))-1)),FIND(".",(" "&amp;LEFT(SUBSTITUTE(A161,CHAR(13),""),FIND(CHAR(10),SUBSTITUTE(A161,CHAR(13),"")&amp;CHAR(10))-1)))))-LEN(SUBSTITUTE(LEFT((" "&amp;LEFT(SUBSTITUTE(A161,CHAR(13),""),FIND(CHAR(10),SUBSTITUTE(A161,CHAR(13),"")&amp;CHAR(10))-1)),FIND(".",(" "&amp;LEFT(SUBSTITUTE(A161,CHAR(13),""),FIND(CHAR(10),SUBSTITUTE(A161,CHAR(13),"")&amp;CHAR(10))-1))))," ",""))))+1)),""))</f>
        <v/>
      </c>
    </row>
    <row r="162" customFormat="false" ht="30" hidden="false" customHeight="true" outlineLevel="0" collapsed="false">
      <c r="A162" s="11" t="str">
        <f aca="false">IFERROR(INDEX(Pegar!$A$3:$A$1002,MATCH(158,Pegar!$B$3:$B$1002,0))&amp;IF(LEFT(INDEX(Pegar!$A$3:$A$1003,MATCH(158,Pegar!$B$3:$B$1002,0)+1),5)="DESC=",CHAR(10)&amp;INDEX(Pegar!$A$3:$A$1003,MATCH(158,Pegar!$B$3:$B$1002,0)+1),""),"")</f>
        <v/>
      </c>
      <c r="B162" s="12" t="str">
        <f aca="false">IF(TRIM(A162)="","",IFERROR(MID(SUBSTITUTE(SUBSTITUTE(A162,CHAR(10)," "),CHAR(13)," "),FIND(" MT"," "&amp;SUBSTITUTE(SUBSTITUTE(A162,CHAR(10)," "),CHAR(13)," ")),FIND(" ",SUBSTITUTE(SUBSTITUTE(A162,CHAR(10)," "),CHAR(13)," ")&amp;" ",FIND(" MT"," "&amp;SUBSTITUTE(SUBSTITUTE(A162,CHAR(10)," "),CHAR(13)," ")))-FIND(" MT"," "&amp;SUBSTITUTE(SUBSTITUTE(A162,CHAR(10)," "),CHAR(13)," "))),"MT no encontrado"))</f>
        <v/>
      </c>
      <c r="C162" s="15" t="str">
        <f aca="false">IF(TRIM(A162)="","",IF(D162="",FALSE(),SUBSTITUTE(SUBSTITUTE(SUBSTITUTE(D162,".",""),"0",""),"-","")&lt;&gt;""))</f>
        <v/>
      </c>
      <c r="D162" s="14" t="str">
        <f aca="false">IF(TRIM(A162)="","",IFERROR(MID((" "&amp;LEFT(SUBSTITUTE(A162,CHAR(13),""),FIND(CHAR(10),SUBSTITUTE(A162,CHAR(13),"")&amp;CHAR(10))-1)),(FIND("~",SUBSTITUTE(LEFT((" "&amp;LEFT(SUBSTITUTE(A162,CHAR(13),""),FIND(CHAR(10),SUBSTITUTE(A162,CHAR(13),"")&amp;CHAR(10))-1)),FIND(".",(" "&amp;LEFT(SUBSTITUTE(A162,CHAR(13),""),FIND(CHAR(10),SUBSTITUTE(A162,CHAR(13),"")&amp;CHAR(10))-1))))," ","~",LEN(LEFT((" "&amp;LEFT(SUBSTITUTE(A162,CHAR(13),""),FIND(CHAR(10),SUBSTITUTE(A162,CHAR(13),"")&amp;CHAR(10))-1)),FIND(".",(" "&amp;LEFT(SUBSTITUTE(A162,CHAR(13),""),FIND(CHAR(10),SUBSTITUTE(A162,CHAR(13),"")&amp;CHAR(10))-1)))))-LEN(SUBSTITUTE(LEFT((" "&amp;LEFT(SUBSTITUTE(A162,CHAR(13),""),FIND(CHAR(10),SUBSTITUTE(A162,CHAR(13),"")&amp;CHAR(10))-1)),FIND(".",(" "&amp;LEFT(SUBSTITUTE(A162,CHAR(13),""),FIND(CHAR(10),SUBSTITUTE(A162,CHAR(13),"")&amp;CHAR(10))-1))))," ",""))))+1),FIND(" ",(" "&amp;LEFT(SUBSTITUTE(A162,CHAR(13),""),FIND(CHAR(10),SUBSTITUTE(A162,CHAR(13),"")&amp;CHAR(10))-1))&amp;" ",FIND(".",(" "&amp;LEFT(SUBSTITUTE(A162,CHAR(13),""),FIND(CHAR(10),SUBSTITUTE(A162,CHAR(13),"")&amp;CHAR(10))-1))))-(FIND("~",SUBSTITUTE(LEFT((" "&amp;LEFT(SUBSTITUTE(A162,CHAR(13),""),FIND(CHAR(10),SUBSTITUTE(A162,CHAR(13),"")&amp;CHAR(10))-1)),FIND(".",(" "&amp;LEFT(SUBSTITUTE(A162,CHAR(13),""),FIND(CHAR(10),SUBSTITUTE(A162,CHAR(13),"")&amp;CHAR(10))-1))))," ","~",LEN(LEFT((" "&amp;LEFT(SUBSTITUTE(A162,CHAR(13),""),FIND(CHAR(10),SUBSTITUTE(A162,CHAR(13),"")&amp;CHAR(10))-1)),FIND(".",(" "&amp;LEFT(SUBSTITUTE(A162,CHAR(13),""),FIND(CHAR(10),SUBSTITUTE(A162,CHAR(13),"")&amp;CHAR(10))-1)))))-LEN(SUBSTITUTE(LEFT((" "&amp;LEFT(SUBSTITUTE(A162,CHAR(13),""),FIND(CHAR(10),SUBSTITUTE(A162,CHAR(13),"")&amp;CHAR(10))-1)),FIND(".",(" "&amp;LEFT(SUBSTITUTE(A162,CHAR(13),""),FIND(CHAR(10),SUBSTITUTE(A162,CHAR(13),"")&amp;CHAR(10))-1))))," ",""))))+1)),""))</f>
        <v/>
      </c>
    </row>
    <row r="163" customFormat="false" ht="30" hidden="false" customHeight="true" outlineLevel="0" collapsed="false">
      <c r="A163" s="11" t="str">
        <f aca="false">IFERROR(INDEX(Pegar!$A$3:$A$1002,MATCH(159,Pegar!$B$3:$B$1002,0))&amp;IF(LEFT(INDEX(Pegar!$A$3:$A$1003,MATCH(159,Pegar!$B$3:$B$1002,0)+1),5)="DESC=",CHAR(10)&amp;INDEX(Pegar!$A$3:$A$1003,MATCH(159,Pegar!$B$3:$B$1002,0)+1),""),"")</f>
        <v/>
      </c>
      <c r="B163" s="12" t="str">
        <f aca="false">IF(TRIM(A163)="","",IFERROR(MID(SUBSTITUTE(SUBSTITUTE(A163,CHAR(10)," "),CHAR(13)," "),FIND(" MT"," "&amp;SUBSTITUTE(SUBSTITUTE(A163,CHAR(10)," "),CHAR(13)," ")),FIND(" ",SUBSTITUTE(SUBSTITUTE(A163,CHAR(10)," "),CHAR(13)," ")&amp;" ",FIND(" MT"," "&amp;SUBSTITUTE(SUBSTITUTE(A163,CHAR(10)," "),CHAR(13)," ")))-FIND(" MT"," "&amp;SUBSTITUTE(SUBSTITUTE(A163,CHAR(10)," "),CHAR(13)," "))),"MT no encontrado"))</f>
        <v/>
      </c>
      <c r="C163" s="15" t="str">
        <f aca="false">IF(TRIM(A163)="","",IF(D163="",FALSE(),SUBSTITUTE(SUBSTITUTE(SUBSTITUTE(D163,".",""),"0",""),"-","")&lt;&gt;""))</f>
        <v/>
      </c>
      <c r="D163" s="14" t="str">
        <f aca="false">IF(TRIM(A163)="","",IFERROR(MID((" "&amp;LEFT(SUBSTITUTE(A163,CHAR(13),""),FIND(CHAR(10),SUBSTITUTE(A163,CHAR(13),"")&amp;CHAR(10))-1)),(FIND("~",SUBSTITUTE(LEFT((" "&amp;LEFT(SUBSTITUTE(A163,CHAR(13),""),FIND(CHAR(10),SUBSTITUTE(A163,CHAR(13),"")&amp;CHAR(10))-1)),FIND(".",(" "&amp;LEFT(SUBSTITUTE(A163,CHAR(13),""),FIND(CHAR(10),SUBSTITUTE(A163,CHAR(13),"")&amp;CHAR(10))-1))))," ","~",LEN(LEFT((" "&amp;LEFT(SUBSTITUTE(A163,CHAR(13),""),FIND(CHAR(10),SUBSTITUTE(A163,CHAR(13),"")&amp;CHAR(10))-1)),FIND(".",(" "&amp;LEFT(SUBSTITUTE(A163,CHAR(13),""),FIND(CHAR(10),SUBSTITUTE(A163,CHAR(13),"")&amp;CHAR(10))-1)))))-LEN(SUBSTITUTE(LEFT((" "&amp;LEFT(SUBSTITUTE(A163,CHAR(13),""),FIND(CHAR(10),SUBSTITUTE(A163,CHAR(13),"")&amp;CHAR(10))-1)),FIND(".",(" "&amp;LEFT(SUBSTITUTE(A163,CHAR(13),""),FIND(CHAR(10),SUBSTITUTE(A163,CHAR(13),"")&amp;CHAR(10))-1))))," ",""))))+1),FIND(" ",(" "&amp;LEFT(SUBSTITUTE(A163,CHAR(13),""),FIND(CHAR(10),SUBSTITUTE(A163,CHAR(13),"")&amp;CHAR(10))-1))&amp;" ",FIND(".",(" "&amp;LEFT(SUBSTITUTE(A163,CHAR(13),""),FIND(CHAR(10),SUBSTITUTE(A163,CHAR(13),"")&amp;CHAR(10))-1))))-(FIND("~",SUBSTITUTE(LEFT((" "&amp;LEFT(SUBSTITUTE(A163,CHAR(13),""),FIND(CHAR(10),SUBSTITUTE(A163,CHAR(13),"")&amp;CHAR(10))-1)),FIND(".",(" "&amp;LEFT(SUBSTITUTE(A163,CHAR(13),""),FIND(CHAR(10),SUBSTITUTE(A163,CHAR(13),"")&amp;CHAR(10))-1))))," ","~",LEN(LEFT((" "&amp;LEFT(SUBSTITUTE(A163,CHAR(13),""),FIND(CHAR(10),SUBSTITUTE(A163,CHAR(13),"")&amp;CHAR(10))-1)),FIND(".",(" "&amp;LEFT(SUBSTITUTE(A163,CHAR(13),""),FIND(CHAR(10),SUBSTITUTE(A163,CHAR(13),"")&amp;CHAR(10))-1)))))-LEN(SUBSTITUTE(LEFT((" "&amp;LEFT(SUBSTITUTE(A163,CHAR(13),""),FIND(CHAR(10),SUBSTITUTE(A163,CHAR(13),"")&amp;CHAR(10))-1)),FIND(".",(" "&amp;LEFT(SUBSTITUTE(A163,CHAR(13),""),FIND(CHAR(10),SUBSTITUTE(A163,CHAR(13),"")&amp;CHAR(10))-1))))," ",""))))+1)),""))</f>
        <v/>
      </c>
    </row>
    <row r="164" customFormat="false" ht="30" hidden="false" customHeight="true" outlineLevel="0" collapsed="false">
      <c r="A164" s="11" t="str">
        <f aca="false">IFERROR(INDEX(Pegar!$A$3:$A$1002,MATCH(160,Pegar!$B$3:$B$1002,0))&amp;IF(LEFT(INDEX(Pegar!$A$3:$A$1003,MATCH(160,Pegar!$B$3:$B$1002,0)+1),5)="DESC=",CHAR(10)&amp;INDEX(Pegar!$A$3:$A$1003,MATCH(160,Pegar!$B$3:$B$1002,0)+1),""),"")</f>
        <v/>
      </c>
      <c r="B164" s="12" t="str">
        <f aca="false">IF(TRIM(A164)="","",IFERROR(MID(SUBSTITUTE(SUBSTITUTE(A164,CHAR(10)," "),CHAR(13)," "),FIND(" MT"," "&amp;SUBSTITUTE(SUBSTITUTE(A164,CHAR(10)," "),CHAR(13)," ")),FIND(" ",SUBSTITUTE(SUBSTITUTE(A164,CHAR(10)," "),CHAR(13)," ")&amp;" ",FIND(" MT"," "&amp;SUBSTITUTE(SUBSTITUTE(A164,CHAR(10)," "),CHAR(13)," ")))-FIND(" MT"," "&amp;SUBSTITUTE(SUBSTITUTE(A164,CHAR(10)," "),CHAR(13)," "))),"MT no encontrado"))</f>
        <v/>
      </c>
      <c r="C164" s="15" t="str">
        <f aca="false">IF(TRIM(A164)="","",IF(D164="",FALSE(),SUBSTITUTE(SUBSTITUTE(SUBSTITUTE(D164,".",""),"0",""),"-","")&lt;&gt;""))</f>
        <v/>
      </c>
      <c r="D164" s="14" t="str">
        <f aca="false">IF(TRIM(A164)="","",IFERROR(MID((" "&amp;LEFT(SUBSTITUTE(A164,CHAR(13),""),FIND(CHAR(10),SUBSTITUTE(A164,CHAR(13),"")&amp;CHAR(10))-1)),(FIND("~",SUBSTITUTE(LEFT((" "&amp;LEFT(SUBSTITUTE(A164,CHAR(13),""),FIND(CHAR(10),SUBSTITUTE(A164,CHAR(13),"")&amp;CHAR(10))-1)),FIND(".",(" "&amp;LEFT(SUBSTITUTE(A164,CHAR(13),""),FIND(CHAR(10),SUBSTITUTE(A164,CHAR(13),"")&amp;CHAR(10))-1))))," ","~",LEN(LEFT((" "&amp;LEFT(SUBSTITUTE(A164,CHAR(13),""),FIND(CHAR(10),SUBSTITUTE(A164,CHAR(13),"")&amp;CHAR(10))-1)),FIND(".",(" "&amp;LEFT(SUBSTITUTE(A164,CHAR(13),""),FIND(CHAR(10),SUBSTITUTE(A164,CHAR(13),"")&amp;CHAR(10))-1)))))-LEN(SUBSTITUTE(LEFT((" "&amp;LEFT(SUBSTITUTE(A164,CHAR(13),""),FIND(CHAR(10),SUBSTITUTE(A164,CHAR(13),"")&amp;CHAR(10))-1)),FIND(".",(" "&amp;LEFT(SUBSTITUTE(A164,CHAR(13),""),FIND(CHAR(10),SUBSTITUTE(A164,CHAR(13),"")&amp;CHAR(10))-1))))," ",""))))+1),FIND(" ",(" "&amp;LEFT(SUBSTITUTE(A164,CHAR(13),""),FIND(CHAR(10),SUBSTITUTE(A164,CHAR(13),"")&amp;CHAR(10))-1))&amp;" ",FIND(".",(" "&amp;LEFT(SUBSTITUTE(A164,CHAR(13),""),FIND(CHAR(10),SUBSTITUTE(A164,CHAR(13),"")&amp;CHAR(10))-1))))-(FIND("~",SUBSTITUTE(LEFT((" "&amp;LEFT(SUBSTITUTE(A164,CHAR(13),""),FIND(CHAR(10),SUBSTITUTE(A164,CHAR(13),"")&amp;CHAR(10))-1)),FIND(".",(" "&amp;LEFT(SUBSTITUTE(A164,CHAR(13),""),FIND(CHAR(10),SUBSTITUTE(A164,CHAR(13),"")&amp;CHAR(10))-1))))," ","~",LEN(LEFT((" "&amp;LEFT(SUBSTITUTE(A164,CHAR(13),""),FIND(CHAR(10),SUBSTITUTE(A164,CHAR(13),"")&amp;CHAR(10))-1)),FIND(".",(" "&amp;LEFT(SUBSTITUTE(A164,CHAR(13),""),FIND(CHAR(10),SUBSTITUTE(A164,CHAR(13),"")&amp;CHAR(10))-1)))))-LEN(SUBSTITUTE(LEFT((" "&amp;LEFT(SUBSTITUTE(A164,CHAR(13),""),FIND(CHAR(10),SUBSTITUTE(A164,CHAR(13),"")&amp;CHAR(10))-1)),FIND(".",(" "&amp;LEFT(SUBSTITUTE(A164,CHAR(13),""),FIND(CHAR(10),SUBSTITUTE(A164,CHAR(13),"")&amp;CHAR(10))-1))))," ",""))))+1)),""))</f>
        <v/>
      </c>
    </row>
    <row r="165" customFormat="false" ht="30" hidden="false" customHeight="true" outlineLevel="0" collapsed="false">
      <c r="A165" s="11" t="str">
        <f aca="false">IFERROR(INDEX(Pegar!$A$3:$A$1002,MATCH(161,Pegar!$B$3:$B$1002,0))&amp;IF(LEFT(INDEX(Pegar!$A$3:$A$1003,MATCH(161,Pegar!$B$3:$B$1002,0)+1),5)="DESC=",CHAR(10)&amp;INDEX(Pegar!$A$3:$A$1003,MATCH(161,Pegar!$B$3:$B$1002,0)+1),""),"")</f>
        <v/>
      </c>
      <c r="B165" s="12" t="str">
        <f aca="false">IF(TRIM(A165)="","",IFERROR(MID(SUBSTITUTE(SUBSTITUTE(A165,CHAR(10)," "),CHAR(13)," "),FIND(" MT"," "&amp;SUBSTITUTE(SUBSTITUTE(A165,CHAR(10)," "),CHAR(13)," ")),FIND(" ",SUBSTITUTE(SUBSTITUTE(A165,CHAR(10)," "),CHAR(13)," ")&amp;" ",FIND(" MT"," "&amp;SUBSTITUTE(SUBSTITUTE(A165,CHAR(10)," "),CHAR(13)," ")))-FIND(" MT"," "&amp;SUBSTITUTE(SUBSTITUTE(A165,CHAR(10)," "),CHAR(13)," "))),"MT no encontrado"))</f>
        <v/>
      </c>
      <c r="C165" s="15" t="str">
        <f aca="false">IF(TRIM(A165)="","",IF(D165="",FALSE(),SUBSTITUTE(SUBSTITUTE(SUBSTITUTE(D165,".",""),"0",""),"-","")&lt;&gt;""))</f>
        <v/>
      </c>
      <c r="D165" s="14" t="str">
        <f aca="false">IF(TRIM(A165)="","",IFERROR(MID((" "&amp;LEFT(SUBSTITUTE(A165,CHAR(13),""),FIND(CHAR(10),SUBSTITUTE(A165,CHAR(13),"")&amp;CHAR(10))-1)),(FIND("~",SUBSTITUTE(LEFT((" "&amp;LEFT(SUBSTITUTE(A165,CHAR(13),""),FIND(CHAR(10),SUBSTITUTE(A165,CHAR(13),"")&amp;CHAR(10))-1)),FIND(".",(" "&amp;LEFT(SUBSTITUTE(A165,CHAR(13),""),FIND(CHAR(10),SUBSTITUTE(A165,CHAR(13),"")&amp;CHAR(10))-1))))," ","~",LEN(LEFT((" "&amp;LEFT(SUBSTITUTE(A165,CHAR(13),""),FIND(CHAR(10),SUBSTITUTE(A165,CHAR(13),"")&amp;CHAR(10))-1)),FIND(".",(" "&amp;LEFT(SUBSTITUTE(A165,CHAR(13),""),FIND(CHAR(10),SUBSTITUTE(A165,CHAR(13),"")&amp;CHAR(10))-1)))))-LEN(SUBSTITUTE(LEFT((" "&amp;LEFT(SUBSTITUTE(A165,CHAR(13),""),FIND(CHAR(10),SUBSTITUTE(A165,CHAR(13),"")&amp;CHAR(10))-1)),FIND(".",(" "&amp;LEFT(SUBSTITUTE(A165,CHAR(13),""),FIND(CHAR(10),SUBSTITUTE(A165,CHAR(13),"")&amp;CHAR(10))-1))))," ",""))))+1),FIND(" ",(" "&amp;LEFT(SUBSTITUTE(A165,CHAR(13),""),FIND(CHAR(10),SUBSTITUTE(A165,CHAR(13),"")&amp;CHAR(10))-1))&amp;" ",FIND(".",(" "&amp;LEFT(SUBSTITUTE(A165,CHAR(13),""),FIND(CHAR(10),SUBSTITUTE(A165,CHAR(13),"")&amp;CHAR(10))-1))))-(FIND("~",SUBSTITUTE(LEFT((" "&amp;LEFT(SUBSTITUTE(A165,CHAR(13),""),FIND(CHAR(10),SUBSTITUTE(A165,CHAR(13),"")&amp;CHAR(10))-1)),FIND(".",(" "&amp;LEFT(SUBSTITUTE(A165,CHAR(13),""),FIND(CHAR(10),SUBSTITUTE(A165,CHAR(13),"")&amp;CHAR(10))-1))))," ","~",LEN(LEFT((" "&amp;LEFT(SUBSTITUTE(A165,CHAR(13),""),FIND(CHAR(10),SUBSTITUTE(A165,CHAR(13),"")&amp;CHAR(10))-1)),FIND(".",(" "&amp;LEFT(SUBSTITUTE(A165,CHAR(13),""),FIND(CHAR(10),SUBSTITUTE(A165,CHAR(13),"")&amp;CHAR(10))-1)))))-LEN(SUBSTITUTE(LEFT((" "&amp;LEFT(SUBSTITUTE(A165,CHAR(13),""),FIND(CHAR(10),SUBSTITUTE(A165,CHAR(13),"")&amp;CHAR(10))-1)),FIND(".",(" "&amp;LEFT(SUBSTITUTE(A165,CHAR(13),""),FIND(CHAR(10),SUBSTITUTE(A165,CHAR(13),"")&amp;CHAR(10))-1))))," ",""))))+1)),""))</f>
        <v/>
      </c>
    </row>
    <row r="166" customFormat="false" ht="30" hidden="false" customHeight="true" outlineLevel="0" collapsed="false">
      <c r="A166" s="11" t="str">
        <f aca="false">IFERROR(INDEX(Pegar!$A$3:$A$1002,MATCH(162,Pegar!$B$3:$B$1002,0))&amp;IF(LEFT(INDEX(Pegar!$A$3:$A$1003,MATCH(162,Pegar!$B$3:$B$1002,0)+1),5)="DESC=",CHAR(10)&amp;INDEX(Pegar!$A$3:$A$1003,MATCH(162,Pegar!$B$3:$B$1002,0)+1),""),"")</f>
        <v/>
      </c>
      <c r="B166" s="12" t="str">
        <f aca="false">IF(TRIM(A166)="","",IFERROR(MID(SUBSTITUTE(SUBSTITUTE(A166,CHAR(10)," "),CHAR(13)," "),FIND(" MT"," "&amp;SUBSTITUTE(SUBSTITUTE(A166,CHAR(10)," "),CHAR(13)," ")),FIND(" ",SUBSTITUTE(SUBSTITUTE(A166,CHAR(10)," "),CHAR(13)," ")&amp;" ",FIND(" MT"," "&amp;SUBSTITUTE(SUBSTITUTE(A166,CHAR(10)," "),CHAR(13)," ")))-FIND(" MT"," "&amp;SUBSTITUTE(SUBSTITUTE(A166,CHAR(10)," "),CHAR(13)," "))),"MT no encontrado"))</f>
        <v/>
      </c>
      <c r="C166" s="15" t="str">
        <f aca="false">IF(TRIM(A166)="","",IF(D166="",FALSE(),SUBSTITUTE(SUBSTITUTE(SUBSTITUTE(D166,".",""),"0",""),"-","")&lt;&gt;""))</f>
        <v/>
      </c>
      <c r="D166" s="14" t="str">
        <f aca="false">IF(TRIM(A166)="","",IFERROR(MID((" "&amp;LEFT(SUBSTITUTE(A166,CHAR(13),""),FIND(CHAR(10),SUBSTITUTE(A166,CHAR(13),"")&amp;CHAR(10))-1)),(FIND("~",SUBSTITUTE(LEFT((" "&amp;LEFT(SUBSTITUTE(A166,CHAR(13),""),FIND(CHAR(10),SUBSTITUTE(A166,CHAR(13),"")&amp;CHAR(10))-1)),FIND(".",(" "&amp;LEFT(SUBSTITUTE(A166,CHAR(13),""),FIND(CHAR(10),SUBSTITUTE(A166,CHAR(13),"")&amp;CHAR(10))-1))))," ","~",LEN(LEFT((" "&amp;LEFT(SUBSTITUTE(A166,CHAR(13),""),FIND(CHAR(10),SUBSTITUTE(A166,CHAR(13),"")&amp;CHAR(10))-1)),FIND(".",(" "&amp;LEFT(SUBSTITUTE(A166,CHAR(13),""),FIND(CHAR(10),SUBSTITUTE(A166,CHAR(13),"")&amp;CHAR(10))-1)))))-LEN(SUBSTITUTE(LEFT((" "&amp;LEFT(SUBSTITUTE(A166,CHAR(13),""),FIND(CHAR(10),SUBSTITUTE(A166,CHAR(13),"")&amp;CHAR(10))-1)),FIND(".",(" "&amp;LEFT(SUBSTITUTE(A166,CHAR(13),""),FIND(CHAR(10),SUBSTITUTE(A166,CHAR(13),"")&amp;CHAR(10))-1))))," ",""))))+1),FIND(" ",(" "&amp;LEFT(SUBSTITUTE(A166,CHAR(13),""),FIND(CHAR(10),SUBSTITUTE(A166,CHAR(13),"")&amp;CHAR(10))-1))&amp;" ",FIND(".",(" "&amp;LEFT(SUBSTITUTE(A166,CHAR(13),""),FIND(CHAR(10),SUBSTITUTE(A166,CHAR(13),"")&amp;CHAR(10))-1))))-(FIND("~",SUBSTITUTE(LEFT((" "&amp;LEFT(SUBSTITUTE(A166,CHAR(13),""),FIND(CHAR(10),SUBSTITUTE(A166,CHAR(13),"")&amp;CHAR(10))-1)),FIND(".",(" "&amp;LEFT(SUBSTITUTE(A166,CHAR(13),""),FIND(CHAR(10),SUBSTITUTE(A166,CHAR(13),"")&amp;CHAR(10))-1))))," ","~",LEN(LEFT((" "&amp;LEFT(SUBSTITUTE(A166,CHAR(13),""),FIND(CHAR(10),SUBSTITUTE(A166,CHAR(13),"")&amp;CHAR(10))-1)),FIND(".",(" "&amp;LEFT(SUBSTITUTE(A166,CHAR(13),""),FIND(CHAR(10),SUBSTITUTE(A166,CHAR(13),"")&amp;CHAR(10))-1)))))-LEN(SUBSTITUTE(LEFT((" "&amp;LEFT(SUBSTITUTE(A166,CHAR(13),""),FIND(CHAR(10),SUBSTITUTE(A166,CHAR(13),"")&amp;CHAR(10))-1)),FIND(".",(" "&amp;LEFT(SUBSTITUTE(A166,CHAR(13),""),FIND(CHAR(10),SUBSTITUTE(A166,CHAR(13),"")&amp;CHAR(10))-1))))," ",""))))+1)),""))</f>
        <v/>
      </c>
    </row>
    <row r="167" customFormat="false" ht="30" hidden="false" customHeight="true" outlineLevel="0" collapsed="false">
      <c r="A167" s="11" t="str">
        <f aca="false">IFERROR(INDEX(Pegar!$A$3:$A$1002,MATCH(163,Pegar!$B$3:$B$1002,0))&amp;IF(LEFT(INDEX(Pegar!$A$3:$A$1003,MATCH(163,Pegar!$B$3:$B$1002,0)+1),5)="DESC=",CHAR(10)&amp;INDEX(Pegar!$A$3:$A$1003,MATCH(163,Pegar!$B$3:$B$1002,0)+1),""),"")</f>
        <v/>
      </c>
      <c r="B167" s="12" t="str">
        <f aca="false">IF(TRIM(A167)="","",IFERROR(MID(SUBSTITUTE(SUBSTITUTE(A167,CHAR(10)," "),CHAR(13)," "),FIND(" MT"," "&amp;SUBSTITUTE(SUBSTITUTE(A167,CHAR(10)," "),CHAR(13)," ")),FIND(" ",SUBSTITUTE(SUBSTITUTE(A167,CHAR(10)," "),CHAR(13)," ")&amp;" ",FIND(" MT"," "&amp;SUBSTITUTE(SUBSTITUTE(A167,CHAR(10)," "),CHAR(13)," ")))-FIND(" MT"," "&amp;SUBSTITUTE(SUBSTITUTE(A167,CHAR(10)," "),CHAR(13)," "))),"MT no encontrado"))</f>
        <v/>
      </c>
      <c r="C167" s="15" t="str">
        <f aca="false">IF(TRIM(A167)="","",IF(D167="",FALSE(),SUBSTITUTE(SUBSTITUTE(SUBSTITUTE(D167,".",""),"0",""),"-","")&lt;&gt;""))</f>
        <v/>
      </c>
      <c r="D167" s="14" t="str">
        <f aca="false">IF(TRIM(A167)="","",IFERROR(MID((" "&amp;LEFT(SUBSTITUTE(A167,CHAR(13),""),FIND(CHAR(10),SUBSTITUTE(A167,CHAR(13),"")&amp;CHAR(10))-1)),(FIND("~",SUBSTITUTE(LEFT((" "&amp;LEFT(SUBSTITUTE(A167,CHAR(13),""),FIND(CHAR(10),SUBSTITUTE(A167,CHAR(13),"")&amp;CHAR(10))-1)),FIND(".",(" "&amp;LEFT(SUBSTITUTE(A167,CHAR(13),""),FIND(CHAR(10),SUBSTITUTE(A167,CHAR(13),"")&amp;CHAR(10))-1))))," ","~",LEN(LEFT((" "&amp;LEFT(SUBSTITUTE(A167,CHAR(13),""),FIND(CHAR(10),SUBSTITUTE(A167,CHAR(13),"")&amp;CHAR(10))-1)),FIND(".",(" "&amp;LEFT(SUBSTITUTE(A167,CHAR(13),""),FIND(CHAR(10),SUBSTITUTE(A167,CHAR(13),"")&amp;CHAR(10))-1)))))-LEN(SUBSTITUTE(LEFT((" "&amp;LEFT(SUBSTITUTE(A167,CHAR(13),""),FIND(CHAR(10),SUBSTITUTE(A167,CHAR(13),"")&amp;CHAR(10))-1)),FIND(".",(" "&amp;LEFT(SUBSTITUTE(A167,CHAR(13),""),FIND(CHAR(10),SUBSTITUTE(A167,CHAR(13),"")&amp;CHAR(10))-1))))," ",""))))+1),FIND(" ",(" "&amp;LEFT(SUBSTITUTE(A167,CHAR(13),""),FIND(CHAR(10),SUBSTITUTE(A167,CHAR(13),"")&amp;CHAR(10))-1))&amp;" ",FIND(".",(" "&amp;LEFT(SUBSTITUTE(A167,CHAR(13),""),FIND(CHAR(10),SUBSTITUTE(A167,CHAR(13),"")&amp;CHAR(10))-1))))-(FIND("~",SUBSTITUTE(LEFT((" "&amp;LEFT(SUBSTITUTE(A167,CHAR(13),""),FIND(CHAR(10),SUBSTITUTE(A167,CHAR(13),"")&amp;CHAR(10))-1)),FIND(".",(" "&amp;LEFT(SUBSTITUTE(A167,CHAR(13),""),FIND(CHAR(10),SUBSTITUTE(A167,CHAR(13),"")&amp;CHAR(10))-1))))," ","~",LEN(LEFT((" "&amp;LEFT(SUBSTITUTE(A167,CHAR(13),""),FIND(CHAR(10),SUBSTITUTE(A167,CHAR(13),"")&amp;CHAR(10))-1)),FIND(".",(" "&amp;LEFT(SUBSTITUTE(A167,CHAR(13),""),FIND(CHAR(10),SUBSTITUTE(A167,CHAR(13),"")&amp;CHAR(10))-1)))))-LEN(SUBSTITUTE(LEFT((" "&amp;LEFT(SUBSTITUTE(A167,CHAR(13),""),FIND(CHAR(10),SUBSTITUTE(A167,CHAR(13),"")&amp;CHAR(10))-1)),FIND(".",(" "&amp;LEFT(SUBSTITUTE(A167,CHAR(13),""),FIND(CHAR(10),SUBSTITUTE(A167,CHAR(13),"")&amp;CHAR(10))-1))))," ",""))))+1)),""))</f>
        <v/>
      </c>
    </row>
    <row r="168" customFormat="false" ht="30" hidden="false" customHeight="true" outlineLevel="0" collapsed="false">
      <c r="A168" s="11" t="str">
        <f aca="false">IFERROR(INDEX(Pegar!$A$3:$A$1002,MATCH(164,Pegar!$B$3:$B$1002,0))&amp;IF(LEFT(INDEX(Pegar!$A$3:$A$1003,MATCH(164,Pegar!$B$3:$B$1002,0)+1),5)="DESC=",CHAR(10)&amp;INDEX(Pegar!$A$3:$A$1003,MATCH(164,Pegar!$B$3:$B$1002,0)+1),""),"")</f>
        <v/>
      </c>
      <c r="B168" s="12" t="str">
        <f aca="false">IF(TRIM(A168)="","",IFERROR(MID(SUBSTITUTE(SUBSTITUTE(A168,CHAR(10)," "),CHAR(13)," "),FIND(" MT"," "&amp;SUBSTITUTE(SUBSTITUTE(A168,CHAR(10)," "),CHAR(13)," ")),FIND(" ",SUBSTITUTE(SUBSTITUTE(A168,CHAR(10)," "),CHAR(13)," ")&amp;" ",FIND(" MT"," "&amp;SUBSTITUTE(SUBSTITUTE(A168,CHAR(10)," "),CHAR(13)," ")))-FIND(" MT"," "&amp;SUBSTITUTE(SUBSTITUTE(A168,CHAR(10)," "),CHAR(13)," "))),"MT no encontrado"))</f>
        <v/>
      </c>
      <c r="C168" s="15" t="str">
        <f aca="false">IF(TRIM(A168)="","",IF(D168="",FALSE(),SUBSTITUTE(SUBSTITUTE(SUBSTITUTE(D168,".",""),"0",""),"-","")&lt;&gt;""))</f>
        <v/>
      </c>
      <c r="D168" s="14" t="str">
        <f aca="false">IF(TRIM(A168)="","",IFERROR(MID((" "&amp;LEFT(SUBSTITUTE(A168,CHAR(13),""),FIND(CHAR(10),SUBSTITUTE(A168,CHAR(13),"")&amp;CHAR(10))-1)),(FIND("~",SUBSTITUTE(LEFT((" "&amp;LEFT(SUBSTITUTE(A168,CHAR(13),""),FIND(CHAR(10),SUBSTITUTE(A168,CHAR(13),"")&amp;CHAR(10))-1)),FIND(".",(" "&amp;LEFT(SUBSTITUTE(A168,CHAR(13),""),FIND(CHAR(10),SUBSTITUTE(A168,CHAR(13),"")&amp;CHAR(10))-1))))," ","~",LEN(LEFT((" "&amp;LEFT(SUBSTITUTE(A168,CHAR(13),""),FIND(CHAR(10),SUBSTITUTE(A168,CHAR(13),"")&amp;CHAR(10))-1)),FIND(".",(" "&amp;LEFT(SUBSTITUTE(A168,CHAR(13),""),FIND(CHAR(10),SUBSTITUTE(A168,CHAR(13),"")&amp;CHAR(10))-1)))))-LEN(SUBSTITUTE(LEFT((" "&amp;LEFT(SUBSTITUTE(A168,CHAR(13),""),FIND(CHAR(10),SUBSTITUTE(A168,CHAR(13),"")&amp;CHAR(10))-1)),FIND(".",(" "&amp;LEFT(SUBSTITUTE(A168,CHAR(13),""),FIND(CHAR(10),SUBSTITUTE(A168,CHAR(13),"")&amp;CHAR(10))-1))))," ",""))))+1),FIND(" ",(" "&amp;LEFT(SUBSTITUTE(A168,CHAR(13),""),FIND(CHAR(10),SUBSTITUTE(A168,CHAR(13),"")&amp;CHAR(10))-1))&amp;" ",FIND(".",(" "&amp;LEFT(SUBSTITUTE(A168,CHAR(13),""),FIND(CHAR(10),SUBSTITUTE(A168,CHAR(13),"")&amp;CHAR(10))-1))))-(FIND("~",SUBSTITUTE(LEFT((" "&amp;LEFT(SUBSTITUTE(A168,CHAR(13),""),FIND(CHAR(10),SUBSTITUTE(A168,CHAR(13),"")&amp;CHAR(10))-1)),FIND(".",(" "&amp;LEFT(SUBSTITUTE(A168,CHAR(13),""),FIND(CHAR(10),SUBSTITUTE(A168,CHAR(13),"")&amp;CHAR(10))-1))))," ","~",LEN(LEFT((" "&amp;LEFT(SUBSTITUTE(A168,CHAR(13),""),FIND(CHAR(10),SUBSTITUTE(A168,CHAR(13),"")&amp;CHAR(10))-1)),FIND(".",(" "&amp;LEFT(SUBSTITUTE(A168,CHAR(13),""),FIND(CHAR(10),SUBSTITUTE(A168,CHAR(13),"")&amp;CHAR(10))-1)))))-LEN(SUBSTITUTE(LEFT((" "&amp;LEFT(SUBSTITUTE(A168,CHAR(13),""),FIND(CHAR(10),SUBSTITUTE(A168,CHAR(13),"")&amp;CHAR(10))-1)),FIND(".",(" "&amp;LEFT(SUBSTITUTE(A168,CHAR(13),""),FIND(CHAR(10),SUBSTITUTE(A168,CHAR(13),"")&amp;CHAR(10))-1))))," ",""))))+1)),""))</f>
        <v/>
      </c>
    </row>
    <row r="169" customFormat="false" ht="30" hidden="false" customHeight="true" outlineLevel="0" collapsed="false">
      <c r="A169" s="11" t="str">
        <f aca="false">IFERROR(INDEX(Pegar!$A$3:$A$1002,MATCH(165,Pegar!$B$3:$B$1002,0))&amp;IF(LEFT(INDEX(Pegar!$A$3:$A$1003,MATCH(165,Pegar!$B$3:$B$1002,0)+1),5)="DESC=",CHAR(10)&amp;INDEX(Pegar!$A$3:$A$1003,MATCH(165,Pegar!$B$3:$B$1002,0)+1),""),"")</f>
        <v/>
      </c>
      <c r="B169" s="12" t="str">
        <f aca="false">IF(TRIM(A169)="","",IFERROR(MID(SUBSTITUTE(SUBSTITUTE(A169,CHAR(10)," "),CHAR(13)," "),FIND(" MT"," "&amp;SUBSTITUTE(SUBSTITUTE(A169,CHAR(10)," "),CHAR(13)," ")),FIND(" ",SUBSTITUTE(SUBSTITUTE(A169,CHAR(10)," "),CHAR(13)," ")&amp;" ",FIND(" MT"," "&amp;SUBSTITUTE(SUBSTITUTE(A169,CHAR(10)," "),CHAR(13)," ")))-FIND(" MT"," "&amp;SUBSTITUTE(SUBSTITUTE(A169,CHAR(10)," "),CHAR(13)," "))),"MT no encontrado"))</f>
        <v/>
      </c>
      <c r="C169" s="15" t="str">
        <f aca="false">IF(TRIM(A169)="","",IF(D169="",FALSE(),SUBSTITUTE(SUBSTITUTE(SUBSTITUTE(D169,".",""),"0",""),"-","")&lt;&gt;""))</f>
        <v/>
      </c>
      <c r="D169" s="14" t="str">
        <f aca="false">IF(TRIM(A169)="","",IFERROR(MID((" "&amp;LEFT(SUBSTITUTE(A169,CHAR(13),""),FIND(CHAR(10),SUBSTITUTE(A169,CHAR(13),"")&amp;CHAR(10))-1)),(FIND("~",SUBSTITUTE(LEFT((" "&amp;LEFT(SUBSTITUTE(A169,CHAR(13),""),FIND(CHAR(10),SUBSTITUTE(A169,CHAR(13),"")&amp;CHAR(10))-1)),FIND(".",(" "&amp;LEFT(SUBSTITUTE(A169,CHAR(13),""),FIND(CHAR(10),SUBSTITUTE(A169,CHAR(13),"")&amp;CHAR(10))-1))))," ","~",LEN(LEFT((" "&amp;LEFT(SUBSTITUTE(A169,CHAR(13),""),FIND(CHAR(10),SUBSTITUTE(A169,CHAR(13),"")&amp;CHAR(10))-1)),FIND(".",(" "&amp;LEFT(SUBSTITUTE(A169,CHAR(13),""),FIND(CHAR(10),SUBSTITUTE(A169,CHAR(13),"")&amp;CHAR(10))-1)))))-LEN(SUBSTITUTE(LEFT((" "&amp;LEFT(SUBSTITUTE(A169,CHAR(13),""),FIND(CHAR(10),SUBSTITUTE(A169,CHAR(13),"")&amp;CHAR(10))-1)),FIND(".",(" "&amp;LEFT(SUBSTITUTE(A169,CHAR(13),""),FIND(CHAR(10),SUBSTITUTE(A169,CHAR(13),"")&amp;CHAR(10))-1))))," ",""))))+1),FIND(" ",(" "&amp;LEFT(SUBSTITUTE(A169,CHAR(13),""),FIND(CHAR(10),SUBSTITUTE(A169,CHAR(13),"")&amp;CHAR(10))-1))&amp;" ",FIND(".",(" "&amp;LEFT(SUBSTITUTE(A169,CHAR(13),""),FIND(CHAR(10),SUBSTITUTE(A169,CHAR(13),"")&amp;CHAR(10))-1))))-(FIND("~",SUBSTITUTE(LEFT((" "&amp;LEFT(SUBSTITUTE(A169,CHAR(13),""),FIND(CHAR(10),SUBSTITUTE(A169,CHAR(13),"")&amp;CHAR(10))-1)),FIND(".",(" "&amp;LEFT(SUBSTITUTE(A169,CHAR(13),""),FIND(CHAR(10),SUBSTITUTE(A169,CHAR(13),"")&amp;CHAR(10))-1))))," ","~",LEN(LEFT((" "&amp;LEFT(SUBSTITUTE(A169,CHAR(13),""),FIND(CHAR(10),SUBSTITUTE(A169,CHAR(13),"")&amp;CHAR(10))-1)),FIND(".",(" "&amp;LEFT(SUBSTITUTE(A169,CHAR(13),""),FIND(CHAR(10),SUBSTITUTE(A169,CHAR(13),"")&amp;CHAR(10))-1)))))-LEN(SUBSTITUTE(LEFT((" "&amp;LEFT(SUBSTITUTE(A169,CHAR(13),""),FIND(CHAR(10),SUBSTITUTE(A169,CHAR(13),"")&amp;CHAR(10))-1)),FIND(".",(" "&amp;LEFT(SUBSTITUTE(A169,CHAR(13),""),FIND(CHAR(10),SUBSTITUTE(A169,CHAR(13),"")&amp;CHAR(10))-1))))," ",""))))+1)),""))</f>
        <v/>
      </c>
    </row>
    <row r="170" customFormat="false" ht="30" hidden="false" customHeight="true" outlineLevel="0" collapsed="false">
      <c r="A170" s="11" t="str">
        <f aca="false">IFERROR(INDEX(Pegar!$A$3:$A$1002,MATCH(166,Pegar!$B$3:$B$1002,0))&amp;IF(LEFT(INDEX(Pegar!$A$3:$A$1003,MATCH(166,Pegar!$B$3:$B$1002,0)+1),5)="DESC=",CHAR(10)&amp;INDEX(Pegar!$A$3:$A$1003,MATCH(166,Pegar!$B$3:$B$1002,0)+1),""),"")</f>
        <v/>
      </c>
      <c r="B170" s="12" t="str">
        <f aca="false">IF(TRIM(A170)="","",IFERROR(MID(SUBSTITUTE(SUBSTITUTE(A170,CHAR(10)," "),CHAR(13)," "),FIND(" MT"," "&amp;SUBSTITUTE(SUBSTITUTE(A170,CHAR(10)," "),CHAR(13)," ")),FIND(" ",SUBSTITUTE(SUBSTITUTE(A170,CHAR(10)," "),CHAR(13)," ")&amp;" ",FIND(" MT"," "&amp;SUBSTITUTE(SUBSTITUTE(A170,CHAR(10)," "),CHAR(13)," ")))-FIND(" MT"," "&amp;SUBSTITUTE(SUBSTITUTE(A170,CHAR(10)," "),CHAR(13)," "))),"MT no encontrado"))</f>
        <v/>
      </c>
      <c r="C170" s="15" t="str">
        <f aca="false">IF(TRIM(A170)="","",IF(D170="",FALSE(),SUBSTITUTE(SUBSTITUTE(SUBSTITUTE(D170,".",""),"0",""),"-","")&lt;&gt;""))</f>
        <v/>
      </c>
      <c r="D170" s="14" t="str">
        <f aca="false">IF(TRIM(A170)="","",IFERROR(MID((" "&amp;LEFT(SUBSTITUTE(A170,CHAR(13),""),FIND(CHAR(10),SUBSTITUTE(A170,CHAR(13),"")&amp;CHAR(10))-1)),(FIND("~",SUBSTITUTE(LEFT((" "&amp;LEFT(SUBSTITUTE(A170,CHAR(13),""),FIND(CHAR(10),SUBSTITUTE(A170,CHAR(13),"")&amp;CHAR(10))-1)),FIND(".",(" "&amp;LEFT(SUBSTITUTE(A170,CHAR(13),""),FIND(CHAR(10),SUBSTITUTE(A170,CHAR(13),"")&amp;CHAR(10))-1))))," ","~",LEN(LEFT((" "&amp;LEFT(SUBSTITUTE(A170,CHAR(13),""),FIND(CHAR(10),SUBSTITUTE(A170,CHAR(13),"")&amp;CHAR(10))-1)),FIND(".",(" "&amp;LEFT(SUBSTITUTE(A170,CHAR(13),""),FIND(CHAR(10),SUBSTITUTE(A170,CHAR(13),"")&amp;CHAR(10))-1)))))-LEN(SUBSTITUTE(LEFT((" "&amp;LEFT(SUBSTITUTE(A170,CHAR(13),""),FIND(CHAR(10),SUBSTITUTE(A170,CHAR(13),"")&amp;CHAR(10))-1)),FIND(".",(" "&amp;LEFT(SUBSTITUTE(A170,CHAR(13),""),FIND(CHAR(10),SUBSTITUTE(A170,CHAR(13),"")&amp;CHAR(10))-1))))," ",""))))+1),FIND(" ",(" "&amp;LEFT(SUBSTITUTE(A170,CHAR(13),""),FIND(CHAR(10),SUBSTITUTE(A170,CHAR(13),"")&amp;CHAR(10))-1))&amp;" ",FIND(".",(" "&amp;LEFT(SUBSTITUTE(A170,CHAR(13),""),FIND(CHAR(10),SUBSTITUTE(A170,CHAR(13),"")&amp;CHAR(10))-1))))-(FIND("~",SUBSTITUTE(LEFT((" "&amp;LEFT(SUBSTITUTE(A170,CHAR(13),""),FIND(CHAR(10),SUBSTITUTE(A170,CHAR(13),"")&amp;CHAR(10))-1)),FIND(".",(" "&amp;LEFT(SUBSTITUTE(A170,CHAR(13),""),FIND(CHAR(10),SUBSTITUTE(A170,CHAR(13),"")&amp;CHAR(10))-1))))," ","~",LEN(LEFT((" "&amp;LEFT(SUBSTITUTE(A170,CHAR(13),""),FIND(CHAR(10),SUBSTITUTE(A170,CHAR(13),"")&amp;CHAR(10))-1)),FIND(".",(" "&amp;LEFT(SUBSTITUTE(A170,CHAR(13),""),FIND(CHAR(10),SUBSTITUTE(A170,CHAR(13),"")&amp;CHAR(10))-1)))))-LEN(SUBSTITUTE(LEFT((" "&amp;LEFT(SUBSTITUTE(A170,CHAR(13),""),FIND(CHAR(10),SUBSTITUTE(A170,CHAR(13),"")&amp;CHAR(10))-1)),FIND(".",(" "&amp;LEFT(SUBSTITUTE(A170,CHAR(13),""),FIND(CHAR(10),SUBSTITUTE(A170,CHAR(13),"")&amp;CHAR(10))-1))))," ",""))))+1)),""))</f>
        <v/>
      </c>
    </row>
    <row r="171" customFormat="false" ht="30" hidden="false" customHeight="true" outlineLevel="0" collapsed="false">
      <c r="A171" s="11" t="str">
        <f aca="false">IFERROR(INDEX(Pegar!$A$3:$A$1002,MATCH(167,Pegar!$B$3:$B$1002,0))&amp;IF(LEFT(INDEX(Pegar!$A$3:$A$1003,MATCH(167,Pegar!$B$3:$B$1002,0)+1),5)="DESC=",CHAR(10)&amp;INDEX(Pegar!$A$3:$A$1003,MATCH(167,Pegar!$B$3:$B$1002,0)+1),""),"")</f>
        <v/>
      </c>
      <c r="B171" s="12" t="str">
        <f aca="false">IF(TRIM(A171)="","",IFERROR(MID(SUBSTITUTE(SUBSTITUTE(A171,CHAR(10)," "),CHAR(13)," "),FIND(" MT"," "&amp;SUBSTITUTE(SUBSTITUTE(A171,CHAR(10)," "),CHAR(13)," ")),FIND(" ",SUBSTITUTE(SUBSTITUTE(A171,CHAR(10)," "),CHAR(13)," ")&amp;" ",FIND(" MT"," "&amp;SUBSTITUTE(SUBSTITUTE(A171,CHAR(10)," "),CHAR(13)," ")))-FIND(" MT"," "&amp;SUBSTITUTE(SUBSTITUTE(A171,CHAR(10)," "),CHAR(13)," "))),"MT no encontrado"))</f>
        <v/>
      </c>
      <c r="C171" s="15" t="str">
        <f aca="false">IF(TRIM(A171)="","",IF(D171="",FALSE(),SUBSTITUTE(SUBSTITUTE(SUBSTITUTE(D171,".",""),"0",""),"-","")&lt;&gt;""))</f>
        <v/>
      </c>
      <c r="D171" s="14" t="str">
        <f aca="false">IF(TRIM(A171)="","",IFERROR(MID((" "&amp;LEFT(SUBSTITUTE(A171,CHAR(13),""),FIND(CHAR(10),SUBSTITUTE(A171,CHAR(13),"")&amp;CHAR(10))-1)),(FIND("~",SUBSTITUTE(LEFT((" "&amp;LEFT(SUBSTITUTE(A171,CHAR(13),""),FIND(CHAR(10),SUBSTITUTE(A171,CHAR(13),"")&amp;CHAR(10))-1)),FIND(".",(" "&amp;LEFT(SUBSTITUTE(A171,CHAR(13),""),FIND(CHAR(10),SUBSTITUTE(A171,CHAR(13),"")&amp;CHAR(10))-1))))," ","~",LEN(LEFT((" "&amp;LEFT(SUBSTITUTE(A171,CHAR(13),""),FIND(CHAR(10),SUBSTITUTE(A171,CHAR(13),"")&amp;CHAR(10))-1)),FIND(".",(" "&amp;LEFT(SUBSTITUTE(A171,CHAR(13),""),FIND(CHAR(10),SUBSTITUTE(A171,CHAR(13),"")&amp;CHAR(10))-1)))))-LEN(SUBSTITUTE(LEFT((" "&amp;LEFT(SUBSTITUTE(A171,CHAR(13),""),FIND(CHAR(10),SUBSTITUTE(A171,CHAR(13),"")&amp;CHAR(10))-1)),FIND(".",(" "&amp;LEFT(SUBSTITUTE(A171,CHAR(13),""),FIND(CHAR(10),SUBSTITUTE(A171,CHAR(13),"")&amp;CHAR(10))-1))))," ",""))))+1),FIND(" ",(" "&amp;LEFT(SUBSTITUTE(A171,CHAR(13),""),FIND(CHAR(10),SUBSTITUTE(A171,CHAR(13),"")&amp;CHAR(10))-1))&amp;" ",FIND(".",(" "&amp;LEFT(SUBSTITUTE(A171,CHAR(13),""),FIND(CHAR(10),SUBSTITUTE(A171,CHAR(13),"")&amp;CHAR(10))-1))))-(FIND("~",SUBSTITUTE(LEFT((" "&amp;LEFT(SUBSTITUTE(A171,CHAR(13),""),FIND(CHAR(10),SUBSTITUTE(A171,CHAR(13),"")&amp;CHAR(10))-1)),FIND(".",(" "&amp;LEFT(SUBSTITUTE(A171,CHAR(13),""),FIND(CHAR(10),SUBSTITUTE(A171,CHAR(13),"")&amp;CHAR(10))-1))))," ","~",LEN(LEFT((" "&amp;LEFT(SUBSTITUTE(A171,CHAR(13),""),FIND(CHAR(10),SUBSTITUTE(A171,CHAR(13),"")&amp;CHAR(10))-1)),FIND(".",(" "&amp;LEFT(SUBSTITUTE(A171,CHAR(13),""),FIND(CHAR(10),SUBSTITUTE(A171,CHAR(13),"")&amp;CHAR(10))-1)))))-LEN(SUBSTITUTE(LEFT((" "&amp;LEFT(SUBSTITUTE(A171,CHAR(13),""),FIND(CHAR(10),SUBSTITUTE(A171,CHAR(13),"")&amp;CHAR(10))-1)),FIND(".",(" "&amp;LEFT(SUBSTITUTE(A171,CHAR(13),""),FIND(CHAR(10),SUBSTITUTE(A171,CHAR(13),"")&amp;CHAR(10))-1))))," ",""))))+1)),""))</f>
        <v/>
      </c>
    </row>
    <row r="172" customFormat="false" ht="30" hidden="false" customHeight="true" outlineLevel="0" collapsed="false">
      <c r="A172" s="11" t="str">
        <f aca="false">IFERROR(INDEX(Pegar!$A$3:$A$1002,MATCH(168,Pegar!$B$3:$B$1002,0))&amp;IF(LEFT(INDEX(Pegar!$A$3:$A$1003,MATCH(168,Pegar!$B$3:$B$1002,0)+1),5)="DESC=",CHAR(10)&amp;INDEX(Pegar!$A$3:$A$1003,MATCH(168,Pegar!$B$3:$B$1002,0)+1),""),"")</f>
        <v/>
      </c>
      <c r="B172" s="12" t="str">
        <f aca="false">IF(TRIM(A172)="","",IFERROR(MID(SUBSTITUTE(SUBSTITUTE(A172,CHAR(10)," "),CHAR(13)," "),FIND(" MT"," "&amp;SUBSTITUTE(SUBSTITUTE(A172,CHAR(10)," "),CHAR(13)," ")),FIND(" ",SUBSTITUTE(SUBSTITUTE(A172,CHAR(10)," "),CHAR(13)," ")&amp;" ",FIND(" MT"," "&amp;SUBSTITUTE(SUBSTITUTE(A172,CHAR(10)," "),CHAR(13)," ")))-FIND(" MT"," "&amp;SUBSTITUTE(SUBSTITUTE(A172,CHAR(10)," "),CHAR(13)," "))),"MT no encontrado"))</f>
        <v/>
      </c>
      <c r="C172" s="15" t="str">
        <f aca="false">IF(TRIM(A172)="","",IF(D172="",FALSE(),SUBSTITUTE(SUBSTITUTE(SUBSTITUTE(D172,".",""),"0",""),"-","")&lt;&gt;""))</f>
        <v/>
      </c>
      <c r="D172" s="14" t="str">
        <f aca="false">IF(TRIM(A172)="","",IFERROR(MID((" "&amp;LEFT(SUBSTITUTE(A172,CHAR(13),""),FIND(CHAR(10),SUBSTITUTE(A172,CHAR(13),"")&amp;CHAR(10))-1)),(FIND("~",SUBSTITUTE(LEFT((" "&amp;LEFT(SUBSTITUTE(A172,CHAR(13),""),FIND(CHAR(10),SUBSTITUTE(A172,CHAR(13),"")&amp;CHAR(10))-1)),FIND(".",(" "&amp;LEFT(SUBSTITUTE(A172,CHAR(13),""),FIND(CHAR(10),SUBSTITUTE(A172,CHAR(13),"")&amp;CHAR(10))-1))))," ","~",LEN(LEFT((" "&amp;LEFT(SUBSTITUTE(A172,CHAR(13),""),FIND(CHAR(10),SUBSTITUTE(A172,CHAR(13),"")&amp;CHAR(10))-1)),FIND(".",(" "&amp;LEFT(SUBSTITUTE(A172,CHAR(13),""),FIND(CHAR(10),SUBSTITUTE(A172,CHAR(13),"")&amp;CHAR(10))-1)))))-LEN(SUBSTITUTE(LEFT((" "&amp;LEFT(SUBSTITUTE(A172,CHAR(13),""),FIND(CHAR(10),SUBSTITUTE(A172,CHAR(13),"")&amp;CHAR(10))-1)),FIND(".",(" "&amp;LEFT(SUBSTITUTE(A172,CHAR(13),""),FIND(CHAR(10),SUBSTITUTE(A172,CHAR(13),"")&amp;CHAR(10))-1))))," ",""))))+1),FIND(" ",(" "&amp;LEFT(SUBSTITUTE(A172,CHAR(13),""),FIND(CHAR(10),SUBSTITUTE(A172,CHAR(13),"")&amp;CHAR(10))-1))&amp;" ",FIND(".",(" "&amp;LEFT(SUBSTITUTE(A172,CHAR(13),""),FIND(CHAR(10),SUBSTITUTE(A172,CHAR(13),"")&amp;CHAR(10))-1))))-(FIND("~",SUBSTITUTE(LEFT((" "&amp;LEFT(SUBSTITUTE(A172,CHAR(13),""),FIND(CHAR(10),SUBSTITUTE(A172,CHAR(13),"")&amp;CHAR(10))-1)),FIND(".",(" "&amp;LEFT(SUBSTITUTE(A172,CHAR(13),""),FIND(CHAR(10),SUBSTITUTE(A172,CHAR(13),"")&amp;CHAR(10))-1))))," ","~",LEN(LEFT((" "&amp;LEFT(SUBSTITUTE(A172,CHAR(13),""),FIND(CHAR(10),SUBSTITUTE(A172,CHAR(13),"")&amp;CHAR(10))-1)),FIND(".",(" "&amp;LEFT(SUBSTITUTE(A172,CHAR(13),""),FIND(CHAR(10),SUBSTITUTE(A172,CHAR(13),"")&amp;CHAR(10))-1)))))-LEN(SUBSTITUTE(LEFT((" "&amp;LEFT(SUBSTITUTE(A172,CHAR(13),""),FIND(CHAR(10),SUBSTITUTE(A172,CHAR(13),"")&amp;CHAR(10))-1)),FIND(".",(" "&amp;LEFT(SUBSTITUTE(A172,CHAR(13),""),FIND(CHAR(10),SUBSTITUTE(A172,CHAR(13),"")&amp;CHAR(10))-1))))," ",""))))+1)),""))</f>
        <v/>
      </c>
    </row>
    <row r="173" customFormat="false" ht="30" hidden="false" customHeight="true" outlineLevel="0" collapsed="false">
      <c r="A173" s="11" t="str">
        <f aca="false">IFERROR(INDEX(Pegar!$A$3:$A$1002,MATCH(169,Pegar!$B$3:$B$1002,0))&amp;IF(LEFT(INDEX(Pegar!$A$3:$A$1003,MATCH(169,Pegar!$B$3:$B$1002,0)+1),5)="DESC=",CHAR(10)&amp;INDEX(Pegar!$A$3:$A$1003,MATCH(169,Pegar!$B$3:$B$1002,0)+1),""),"")</f>
        <v/>
      </c>
      <c r="B173" s="12" t="str">
        <f aca="false">IF(TRIM(A173)="","",IFERROR(MID(SUBSTITUTE(SUBSTITUTE(A173,CHAR(10)," "),CHAR(13)," "),FIND(" MT"," "&amp;SUBSTITUTE(SUBSTITUTE(A173,CHAR(10)," "),CHAR(13)," ")),FIND(" ",SUBSTITUTE(SUBSTITUTE(A173,CHAR(10)," "),CHAR(13)," ")&amp;" ",FIND(" MT"," "&amp;SUBSTITUTE(SUBSTITUTE(A173,CHAR(10)," "),CHAR(13)," ")))-FIND(" MT"," "&amp;SUBSTITUTE(SUBSTITUTE(A173,CHAR(10)," "),CHAR(13)," "))),"MT no encontrado"))</f>
        <v/>
      </c>
      <c r="C173" s="15" t="str">
        <f aca="false">IF(TRIM(A173)="","",IF(D173="",FALSE(),SUBSTITUTE(SUBSTITUTE(SUBSTITUTE(D173,".",""),"0",""),"-","")&lt;&gt;""))</f>
        <v/>
      </c>
      <c r="D173" s="14" t="str">
        <f aca="false">IF(TRIM(A173)="","",IFERROR(MID((" "&amp;LEFT(SUBSTITUTE(A173,CHAR(13),""),FIND(CHAR(10),SUBSTITUTE(A173,CHAR(13),"")&amp;CHAR(10))-1)),(FIND("~",SUBSTITUTE(LEFT((" "&amp;LEFT(SUBSTITUTE(A173,CHAR(13),""),FIND(CHAR(10),SUBSTITUTE(A173,CHAR(13),"")&amp;CHAR(10))-1)),FIND(".",(" "&amp;LEFT(SUBSTITUTE(A173,CHAR(13),""),FIND(CHAR(10),SUBSTITUTE(A173,CHAR(13),"")&amp;CHAR(10))-1))))," ","~",LEN(LEFT((" "&amp;LEFT(SUBSTITUTE(A173,CHAR(13),""),FIND(CHAR(10),SUBSTITUTE(A173,CHAR(13),"")&amp;CHAR(10))-1)),FIND(".",(" "&amp;LEFT(SUBSTITUTE(A173,CHAR(13),""),FIND(CHAR(10),SUBSTITUTE(A173,CHAR(13),"")&amp;CHAR(10))-1)))))-LEN(SUBSTITUTE(LEFT((" "&amp;LEFT(SUBSTITUTE(A173,CHAR(13),""),FIND(CHAR(10),SUBSTITUTE(A173,CHAR(13),"")&amp;CHAR(10))-1)),FIND(".",(" "&amp;LEFT(SUBSTITUTE(A173,CHAR(13),""),FIND(CHAR(10),SUBSTITUTE(A173,CHAR(13),"")&amp;CHAR(10))-1))))," ",""))))+1),FIND(" ",(" "&amp;LEFT(SUBSTITUTE(A173,CHAR(13),""),FIND(CHAR(10),SUBSTITUTE(A173,CHAR(13),"")&amp;CHAR(10))-1))&amp;" ",FIND(".",(" "&amp;LEFT(SUBSTITUTE(A173,CHAR(13),""),FIND(CHAR(10),SUBSTITUTE(A173,CHAR(13),"")&amp;CHAR(10))-1))))-(FIND("~",SUBSTITUTE(LEFT((" "&amp;LEFT(SUBSTITUTE(A173,CHAR(13),""),FIND(CHAR(10),SUBSTITUTE(A173,CHAR(13),"")&amp;CHAR(10))-1)),FIND(".",(" "&amp;LEFT(SUBSTITUTE(A173,CHAR(13),""),FIND(CHAR(10),SUBSTITUTE(A173,CHAR(13),"")&amp;CHAR(10))-1))))," ","~",LEN(LEFT((" "&amp;LEFT(SUBSTITUTE(A173,CHAR(13),""),FIND(CHAR(10),SUBSTITUTE(A173,CHAR(13),"")&amp;CHAR(10))-1)),FIND(".",(" "&amp;LEFT(SUBSTITUTE(A173,CHAR(13),""),FIND(CHAR(10),SUBSTITUTE(A173,CHAR(13),"")&amp;CHAR(10))-1)))))-LEN(SUBSTITUTE(LEFT((" "&amp;LEFT(SUBSTITUTE(A173,CHAR(13),""),FIND(CHAR(10),SUBSTITUTE(A173,CHAR(13),"")&amp;CHAR(10))-1)),FIND(".",(" "&amp;LEFT(SUBSTITUTE(A173,CHAR(13),""),FIND(CHAR(10),SUBSTITUTE(A173,CHAR(13),"")&amp;CHAR(10))-1))))," ",""))))+1)),""))</f>
        <v/>
      </c>
    </row>
    <row r="174" customFormat="false" ht="30" hidden="false" customHeight="true" outlineLevel="0" collapsed="false">
      <c r="A174" s="11" t="str">
        <f aca="false">IFERROR(INDEX(Pegar!$A$3:$A$1002,MATCH(170,Pegar!$B$3:$B$1002,0))&amp;IF(LEFT(INDEX(Pegar!$A$3:$A$1003,MATCH(170,Pegar!$B$3:$B$1002,0)+1),5)="DESC=",CHAR(10)&amp;INDEX(Pegar!$A$3:$A$1003,MATCH(170,Pegar!$B$3:$B$1002,0)+1),""),"")</f>
        <v/>
      </c>
      <c r="B174" s="12" t="str">
        <f aca="false">IF(TRIM(A174)="","",IFERROR(MID(SUBSTITUTE(SUBSTITUTE(A174,CHAR(10)," "),CHAR(13)," "),FIND(" MT"," "&amp;SUBSTITUTE(SUBSTITUTE(A174,CHAR(10)," "),CHAR(13)," ")),FIND(" ",SUBSTITUTE(SUBSTITUTE(A174,CHAR(10)," "),CHAR(13)," ")&amp;" ",FIND(" MT"," "&amp;SUBSTITUTE(SUBSTITUTE(A174,CHAR(10)," "),CHAR(13)," ")))-FIND(" MT"," "&amp;SUBSTITUTE(SUBSTITUTE(A174,CHAR(10)," "),CHAR(13)," "))),"MT no encontrado"))</f>
        <v/>
      </c>
      <c r="C174" s="15" t="str">
        <f aca="false">IF(TRIM(A174)="","",IF(D174="",FALSE(),SUBSTITUTE(SUBSTITUTE(SUBSTITUTE(D174,".",""),"0",""),"-","")&lt;&gt;""))</f>
        <v/>
      </c>
      <c r="D174" s="14" t="str">
        <f aca="false">IF(TRIM(A174)="","",IFERROR(MID((" "&amp;LEFT(SUBSTITUTE(A174,CHAR(13),""),FIND(CHAR(10),SUBSTITUTE(A174,CHAR(13),"")&amp;CHAR(10))-1)),(FIND("~",SUBSTITUTE(LEFT((" "&amp;LEFT(SUBSTITUTE(A174,CHAR(13),""),FIND(CHAR(10),SUBSTITUTE(A174,CHAR(13),"")&amp;CHAR(10))-1)),FIND(".",(" "&amp;LEFT(SUBSTITUTE(A174,CHAR(13),""),FIND(CHAR(10),SUBSTITUTE(A174,CHAR(13),"")&amp;CHAR(10))-1))))," ","~",LEN(LEFT((" "&amp;LEFT(SUBSTITUTE(A174,CHAR(13),""),FIND(CHAR(10),SUBSTITUTE(A174,CHAR(13),"")&amp;CHAR(10))-1)),FIND(".",(" "&amp;LEFT(SUBSTITUTE(A174,CHAR(13),""),FIND(CHAR(10),SUBSTITUTE(A174,CHAR(13),"")&amp;CHAR(10))-1)))))-LEN(SUBSTITUTE(LEFT((" "&amp;LEFT(SUBSTITUTE(A174,CHAR(13),""),FIND(CHAR(10),SUBSTITUTE(A174,CHAR(13),"")&amp;CHAR(10))-1)),FIND(".",(" "&amp;LEFT(SUBSTITUTE(A174,CHAR(13),""),FIND(CHAR(10),SUBSTITUTE(A174,CHAR(13),"")&amp;CHAR(10))-1))))," ",""))))+1),FIND(" ",(" "&amp;LEFT(SUBSTITUTE(A174,CHAR(13),""),FIND(CHAR(10),SUBSTITUTE(A174,CHAR(13),"")&amp;CHAR(10))-1))&amp;" ",FIND(".",(" "&amp;LEFT(SUBSTITUTE(A174,CHAR(13),""),FIND(CHAR(10),SUBSTITUTE(A174,CHAR(13),"")&amp;CHAR(10))-1))))-(FIND("~",SUBSTITUTE(LEFT((" "&amp;LEFT(SUBSTITUTE(A174,CHAR(13),""),FIND(CHAR(10),SUBSTITUTE(A174,CHAR(13),"")&amp;CHAR(10))-1)),FIND(".",(" "&amp;LEFT(SUBSTITUTE(A174,CHAR(13),""),FIND(CHAR(10),SUBSTITUTE(A174,CHAR(13),"")&amp;CHAR(10))-1))))," ","~",LEN(LEFT((" "&amp;LEFT(SUBSTITUTE(A174,CHAR(13),""),FIND(CHAR(10),SUBSTITUTE(A174,CHAR(13),"")&amp;CHAR(10))-1)),FIND(".",(" "&amp;LEFT(SUBSTITUTE(A174,CHAR(13),""),FIND(CHAR(10),SUBSTITUTE(A174,CHAR(13),"")&amp;CHAR(10))-1)))))-LEN(SUBSTITUTE(LEFT((" "&amp;LEFT(SUBSTITUTE(A174,CHAR(13),""),FIND(CHAR(10),SUBSTITUTE(A174,CHAR(13),"")&amp;CHAR(10))-1)),FIND(".",(" "&amp;LEFT(SUBSTITUTE(A174,CHAR(13),""),FIND(CHAR(10),SUBSTITUTE(A174,CHAR(13),"")&amp;CHAR(10))-1))))," ",""))))+1)),""))</f>
        <v/>
      </c>
    </row>
    <row r="175" customFormat="false" ht="30" hidden="false" customHeight="true" outlineLevel="0" collapsed="false">
      <c r="A175" s="11" t="str">
        <f aca="false">IFERROR(INDEX(Pegar!$A$3:$A$1002,MATCH(171,Pegar!$B$3:$B$1002,0))&amp;IF(LEFT(INDEX(Pegar!$A$3:$A$1003,MATCH(171,Pegar!$B$3:$B$1002,0)+1),5)="DESC=",CHAR(10)&amp;INDEX(Pegar!$A$3:$A$1003,MATCH(171,Pegar!$B$3:$B$1002,0)+1),""),"")</f>
        <v/>
      </c>
      <c r="B175" s="12" t="str">
        <f aca="false">IF(TRIM(A175)="","",IFERROR(MID(SUBSTITUTE(SUBSTITUTE(A175,CHAR(10)," "),CHAR(13)," "),FIND(" MT"," "&amp;SUBSTITUTE(SUBSTITUTE(A175,CHAR(10)," "),CHAR(13)," ")),FIND(" ",SUBSTITUTE(SUBSTITUTE(A175,CHAR(10)," "),CHAR(13)," ")&amp;" ",FIND(" MT"," "&amp;SUBSTITUTE(SUBSTITUTE(A175,CHAR(10)," "),CHAR(13)," ")))-FIND(" MT"," "&amp;SUBSTITUTE(SUBSTITUTE(A175,CHAR(10)," "),CHAR(13)," "))),"MT no encontrado"))</f>
        <v/>
      </c>
      <c r="C175" s="15" t="str">
        <f aca="false">IF(TRIM(A175)="","",IF(D175="",FALSE(),SUBSTITUTE(SUBSTITUTE(SUBSTITUTE(D175,".",""),"0",""),"-","")&lt;&gt;""))</f>
        <v/>
      </c>
      <c r="D175" s="14" t="str">
        <f aca="false">IF(TRIM(A175)="","",IFERROR(MID((" "&amp;LEFT(SUBSTITUTE(A175,CHAR(13),""),FIND(CHAR(10),SUBSTITUTE(A175,CHAR(13),"")&amp;CHAR(10))-1)),(FIND("~",SUBSTITUTE(LEFT((" "&amp;LEFT(SUBSTITUTE(A175,CHAR(13),""),FIND(CHAR(10),SUBSTITUTE(A175,CHAR(13),"")&amp;CHAR(10))-1)),FIND(".",(" "&amp;LEFT(SUBSTITUTE(A175,CHAR(13),""),FIND(CHAR(10),SUBSTITUTE(A175,CHAR(13),"")&amp;CHAR(10))-1))))," ","~",LEN(LEFT((" "&amp;LEFT(SUBSTITUTE(A175,CHAR(13),""),FIND(CHAR(10),SUBSTITUTE(A175,CHAR(13),"")&amp;CHAR(10))-1)),FIND(".",(" "&amp;LEFT(SUBSTITUTE(A175,CHAR(13),""),FIND(CHAR(10),SUBSTITUTE(A175,CHAR(13),"")&amp;CHAR(10))-1)))))-LEN(SUBSTITUTE(LEFT((" "&amp;LEFT(SUBSTITUTE(A175,CHAR(13),""),FIND(CHAR(10),SUBSTITUTE(A175,CHAR(13),"")&amp;CHAR(10))-1)),FIND(".",(" "&amp;LEFT(SUBSTITUTE(A175,CHAR(13),""),FIND(CHAR(10),SUBSTITUTE(A175,CHAR(13),"")&amp;CHAR(10))-1))))," ",""))))+1),FIND(" ",(" "&amp;LEFT(SUBSTITUTE(A175,CHAR(13),""),FIND(CHAR(10),SUBSTITUTE(A175,CHAR(13),"")&amp;CHAR(10))-1))&amp;" ",FIND(".",(" "&amp;LEFT(SUBSTITUTE(A175,CHAR(13),""),FIND(CHAR(10),SUBSTITUTE(A175,CHAR(13),"")&amp;CHAR(10))-1))))-(FIND("~",SUBSTITUTE(LEFT((" "&amp;LEFT(SUBSTITUTE(A175,CHAR(13),""),FIND(CHAR(10),SUBSTITUTE(A175,CHAR(13),"")&amp;CHAR(10))-1)),FIND(".",(" "&amp;LEFT(SUBSTITUTE(A175,CHAR(13),""),FIND(CHAR(10),SUBSTITUTE(A175,CHAR(13),"")&amp;CHAR(10))-1))))," ","~",LEN(LEFT((" "&amp;LEFT(SUBSTITUTE(A175,CHAR(13),""),FIND(CHAR(10),SUBSTITUTE(A175,CHAR(13),"")&amp;CHAR(10))-1)),FIND(".",(" "&amp;LEFT(SUBSTITUTE(A175,CHAR(13),""),FIND(CHAR(10),SUBSTITUTE(A175,CHAR(13),"")&amp;CHAR(10))-1)))))-LEN(SUBSTITUTE(LEFT((" "&amp;LEFT(SUBSTITUTE(A175,CHAR(13),""),FIND(CHAR(10),SUBSTITUTE(A175,CHAR(13),"")&amp;CHAR(10))-1)),FIND(".",(" "&amp;LEFT(SUBSTITUTE(A175,CHAR(13),""),FIND(CHAR(10),SUBSTITUTE(A175,CHAR(13),"")&amp;CHAR(10))-1))))," ",""))))+1)),""))</f>
        <v/>
      </c>
    </row>
    <row r="176" customFormat="false" ht="30" hidden="false" customHeight="true" outlineLevel="0" collapsed="false">
      <c r="A176" s="11" t="str">
        <f aca="false">IFERROR(INDEX(Pegar!$A$3:$A$1002,MATCH(172,Pegar!$B$3:$B$1002,0))&amp;IF(LEFT(INDEX(Pegar!$A$3:$A$1003,MATCH(172,Pegar!$B$3:$B$1002,0)+1),5)="DESC=",CHAR(10)&amp;INDEX(Pegar!$A$3:$A$1003,MATCH(172,Pegar!$B$3:$B$1002,0)+1),""),"")</f>
        <v/>
      </c>
      <c r="B176" s="12" t="str">
        <f aca="false">IF(TRIM(A176)="","",IFERROR(MID(SUBSTITUTE(SUBSTITUTE(A176,CHAR(10)," "),CHAR(13)," "),FIND(" MT"," "&amp;SUBSTITUTE(SUBSTITUTE(A176,CHAR(10)," "),CHAR(13)," ")),FIND(" ",SUBSTITUTE(SUBSTITUTE(A176,CHAR(10)," "),CHAR(13)," ")&amp;" ",FIND(" MT"," "&amp;SUBSTITUTE(SUBSTITUTE(A176,CHAR(10)," "),CHAR(13)," ")))-FIND(" MT"," "&amp;SUBSTITUTE(SUBSTITUTE(A176,CHAR(10)," "),CHAR(13)," "))),"MT no encontrado"))</f>
        <v/>
      </c>
      <c r="C176" s="15" t="str">
        <f aca="false">IF(TRIM(A176)="","",IF(D176="",FALSE(),SUBSTITUTE(SUBSTITUTE(SUBSTITUTE(D176,".",""),"0",""),"-","")&lt;&gt;""))</f>
        <v/>
      </c>
      <c r="D176" s="14" t="str">
        <f aca="false">IF(TRIM(A176)="","",IFERROR(MID((" "&amp;LEFT(SUBSTITUTE(A176,CHAR(13),""),FIND(CHAR(10),SUBSTITUTE(A176,CHAR(13),"")&amp;CHAR(10))-1)),(FIND("~",SUBSTITUTE(LEFT((" "&amp;LEFT(SUBSTITUTE(A176,CHAR(13),""),FIND(CHAR(10),SUBSTITUTE(A176,CHAR(13),"")&amp;CHAR(10))-1)),FIND(".",(" "&amp;LEFT(SUBSTITUTE(A176,CHAR(13),""),FIND(CHAR(10),SUBSTITUTE(A176,CHAR(13),"")&amp;CHAR(10))-1))))," ","~",LEN(LEFT((" "&amp;LEFT(SUBSTITUTE(A176,CHAR(13),""),FIND(CHAR(10),SUBSTITUTE(A176,CHAR(13),"")&amp;CHAR(10))-1)),FIND(".",(" "&amp;LEFT(SUBSTITUTE(A176,CHAR(13),""),FIND(CHAR(10),SUBSTITUTE(A176,CHAR(13),"")&amp;CHAR(10))-1)))))-LEN(SUBSTITUTE(LEFT((" "&amp;LEFT(SUBSTITUTE(A176,CHAR(13),""),FIND(CHAR(10),SUBSTITUTE(A176,CHAR(13),"")&amp;CHAR(10))-1)),FIND(".",(" "&amp;LEFT(SUBSTITUTE(A176,CHAR(13),""),FIND(CHAR(10),SUBSTITUTE(A176,CHAR(13),"")&amp;CHAR(10))-1))))," ",""))))+1),FIND(" ",(" "&amp;LEFT(SUBSTITUTE(A176,CHAR(13),""),FIND(CHAR(10),SUBSTITUTE(A176,CHAR(13),"")&amp;CHAR(10))-1))&amp;" ",FIND(".",(" "&amp;LEFT(SUBSTITUTE(A176,CHAR(13),""),FIND(CHAR(10),SUBSTITUTE(A176,CHAR(13),"")&amp;CHAR(10))-1))))-(FIND("~",SUBSTITUTE(LEFT((" "&amp;LEFT(SUBSTITUTE(A176,CHAR(13),""),FIND(CHAR(10),SUBSTITUTE(A176,CHAR(13),"")&amp;CHAR(10))-1)),FIND(".",(" "&amp;LEFT(SUBSTITUTE(A176,CHAR(13),""),FIND(CHAR(10),SUBSTITUTE(A176,CHAR(13),"")&amp;CHAR(10))-1))))," ","~",LEN(LEFT((" "&amp;LEFT(SUBSTITUTE(A176,CHAR(13),""),FIND(CHAR(10),SUBSTITUTE(A176,CHAR(13),"")&amp;CHAR(10))-1)),FIND(".",(" "&amp;LEFT(SUBSTITUTE(A176,CHAR(13),""),FIND(CHAR(10),SUBSTITUTE(A176,CHAR(13),"")&amp;CHAR(10))-1)))))-LEN(SUBSTITUTE(LEFT((" "&amp;LEFT(SUBSTITUTE(A176,CHAR(13),""),FIND(CHAR(10),SUBSTITUTE(A176,CHAR(13),"")&amp;CHAR(10))-1)),FIND(".",(" "&amp;LEFT(SUBSTITUTE(A176,CHAR(13),""),FIND(CHAR(10),SUBSTITUTE(A176,CHAR(13),"")&amp;CHAR(10))-1))))," ",""))))+1)),""))</f>
        <v/>
      </c>
    </row>
    <row r="177" customFormat="false" ht="30" hidden="false" customHeight="true" outlineLevel="0" collapsed="false">
      <c r="A177" s="11" t="str">
        <f aca="false">IFERROR(INDEX(Pegar!$A$3:$A$1002,MATCH(173,Pegar!$B$3:$B$1002,0))&amp;IF(LEFT(INDEX(Pegar!$A$3:$A$1003,MATCH(173,Pegar!$B$3:$B$1002,0)+1),5)="DESC=",CHAR(10)&amp;INDEX(Pegar!$A$3:$A$1003,MATCH(173,Pegar!$B$3:$B$1002,0)+1),""),"")</f>
        <v/>
      </c>
      <c r="B177" s="12" t="str">
        <f aca="false">IF(TRIM(A177)="","",IFERROR(MID(SUBSTITUTE(SUBSTITUTE(A177,CHAR(10)," "),CHAR(13)," "),FIND(" MT"," "&amp;SUBSTITUTE(SUBSTITUTE(A177,CHAR(10)," "),CHAR(13)," ")),FIND(" ",SUBSTITUTE(SUBSTITUTE(A177,CHAR(10)," "),CHAR(13)," ")&amp;" ",FIND(" MT"," "&amp;SUBSTITUTE(SUBSTITUTE(A177,CHAR(10)," "),CHAR(13)," ")))-FIND(" MT"," "&amp;SUBSTITUTE(SUBSTITUTE(A177,CHAR(10)," "),CHAR(13)," "))),"MT no encontrado"))</f>
        <v/>
      </c>
      <c r="C177" s="15" t="str">
        <f aca="false">IF(TRIM(A177)="","",IF(D177="",FALSE(),SUBSTITUTE(SUBSTITUTE(SUBSTITUTE(D177,".",""),"0",""),"-","")&lt;&gt;""))</f>
        <v/>
      </c>
      <c r="D177" s="14" t="str">
        <f aca="false">IF(TRIM(A177)="","",IFERROR(MID((" "&amp;LEFT(SUBSTITUTE(A177,CHAR(13),""),FIND(CHAR(10),SUBSTITUTE(A177,CHAR(13),"")&amp;CHAR(10))-1)),(FIND("~",SUBSTITUTE(LEFT((" "&amp;LEFT(SUBSTITUTE(A177,CHAR(13),""),FIND(CHAR(10),SUBSTITUTE(A177,CHAR(13),"")&amp;CHAR(10))-1)),FIND(".",(" "&amp;LEFT(SUBSTITUTE(A177,CHAR(13),""),FIND(CHAR(10),SUBSTITUTE(A177,CHAR(13),"")&amp;CHAR(10))-1))))," ","~",LEN(LEFT((" "&amp;LEFT(SUBSTITUTE(A177,CHAR(13),""),FIND(CHAR(10),SUBSTITUTE(A177,CHAR(13),"")&amp;CHAR(10))-1)),FIND(".",(" "&amp;LEFT(SUBSTITUTE(A177,CHAR(13),""),FIND(CHAR(10),SUBSTITUTE(A177,CHAR(13),"")&amp;CHAR(10))-1)))))-LEN(SUBSTITUTE(LEFT((" "&amp;LEFT(SUBSTITUTE(A177,CHAR(13),""),FIND(CHAR(10),SUBSTITUTE(A177,CHAR(13),"")&amp;CHAR(10))-1)),FIND(".",(" "&amp;LEFT(SUBSTITUTE(A177,CHAR(13),""),FIND(CHAR(10),SUBSTITUTE(A177,CHAR(13),"")&amp;CHAR(10))-1))))," ",""))))+1),FIND(" ",(" "&amp;LEFT(SUBSTITUTE(A177,CHAR(13),""),FIND(CHAR(10),SUBSTITUTE(A177,CHAR(13),"")&amp;CHAR(10))-1))&amp;" ",FIND(".",(" "&amp;LEFT(SUBSTITUTE(A177,CHAR(13),""),FIND(CHAR(10),SUBSTITUTE(A177,CHAR(13),"")&amp;CHAR(10))-1))))-(FIND("~",SUBSTITUTE(LEFT((" "&amp;LEFT(SUBSTITUTE(A177,CHAR(13),""),FIND(CHAR(10),SUBSTITUTE(A177,CHAR(13),"")&amp;CHAR(10))-1)),FIND(".",(" "&amp;LEFT(SUBSTITUTE(A177,CHAR(13),""),FIND(CHAR(10),SUBSTITUTE(A177,CHAR(13),"")&amp;CHAR(10))-1))))," ","~",LEN(LEFT((" "&amp;LEFT(SUBSTITUTE(A177,CHAR(13),""),FIND(CHAR(10),SUBSTITUTE(A177,CHAR(13),"")&amp;CHAR(10))-1)),FIND(".",(" "&amp;LEFT(SUBSTITUTE(A177,CHAR(13),""),FIND(CHAR(10),SUBSTITUTE(A177,CHAR(13),"")&amp;CHAR(10))-1)))))-LEN(SUBSTITUTE(LEFT((" "&amp;LEFT(SUBSTITUTE(A177,CHAR(13),""),FIND(CHAR(10),SUBSTITUTE(A177,CHAR(13),"")&amp;CHAR(10))-1)),FIND(".",(" "&amp;LEFT(SUBSTITUTE(A177,CHAR(13),""),FIND(CHAR(10),SUBSTITUTE(A177,CHAR(13),"")&amp;CHAR(10))-1))))," ",""))))+1)),""))</f>
        <v/>
      </c>
    </row>
    <row r="178" customFormat="false" ht="30" hidden="false" customHeight="true" outlineLevel="0" collapsed="false">
      <c r="A178" s="11" t="str">
        <f aca="false">IFERROR(INDEX(Pegar!$A$3:$A$1002,MATCH(174,Pegar!$B$3:$B$1002,0))&amp;IF(LEFT(INDEX(Pegar!$A$3:$A$1003,MATCH(174,Pegar!$B$3:$B$1002,0)+1),5)="DESC=",CHAR(10)&amp;INDEX(Pegar!$A$3:$A$1003,MATCH(174,Pegar!$B$3:$B$1002,0)+1),""),"")</f>
        <v/>
      </c>
      <c r="B178" s="12" t="str">
        <f aca="false">IF(TRIM(A178)="","",IFERROR(MID(SUBSTITUTE(SUBSTITUTE(A178,CHAR(10)," "),CHAR(13)," "),FIND(" MT"," "&amp;SUBSTITUTE(SUBSTITUTE(A178,CHAR(10)," "),CHAR(13)," ")),FIND(" ",SUBSTITUTE(SUBSTITUTE(A178,CHAR(10)," "),CHAR(13)," ")&amp;" ",FIND(" MT"," "&amp;SUBSTITUTE(SUBSTITUTE(A178,CHAR(10)," "),CHAR(13)," ")))-FIND(" MT"," "&amp;SUBSTITUTE(SUBSTITUTE(A178,CHAR(10)," "),CHAR(13)," "))),"MT no encontrado"))</f>
        <v/>
      </c>
      <c r="C178" s="15" t="str">
        <f aca="false">IF(TRIM(A178)="","",IF(D178="",FALSE(),SUBSTITUTE(SUBSTITUTE(SUBSTITUTE(D178,".",""),"0",""),"-","")&lt;&gt;""))</f>
        <v/>
      </c>
      <c r="D178" s="14" t="str">
        <f aca="false">IF(TRIM(A178)="","",IFERROR(MID((" "&amp;LEFT(SUBSTITUTE(A178,CHAR(13),""),FIND(CHAR(10),SUBSTITUTE(A178,CHAR(13),"")&amp;CHAR(10))-1)),(FIND("~",SUBSTITUTE(LEFT((" "&amp;LEFT(SUBSTITUTE(A178,CHAR(13),""),FIND(CHAR(10),SUBSTITUTE(A178,CHAR(13),"")&amp;CHAR(10))-1)),FIND(".",(" "&amp;LEFT(SUBSTITUTE(A178,CHAR(13),""),FIND(CHAR(10),SUBSTITUTE(A178,CHAR(13),"")&amp;CHAR(10))-1))))," ","~",LEN(LEFT((" "&amp;LEFT(SUBSTITUTE(A178,CHAR(13),""),FIND(CHAR(10),SUBSTITUTE(A178,CHAR(13),"")&amp;CHAR(10))-1)),FIND(".",(" "&amp;LEFT(SUBSTITUTE(A178,CHAR(13),""),FIND(CHAR(10),SUBSTITUTE(A178,CHAR(13),"")&amp;CHAR(10))-1)))))-LEN(SUBSTITUTE(LEFT((" "&amp;LEFT(SUBSTITUTE(A178,CHAR(13),""),FIND(CHAR(10),SUBSTITUTE(A178,CHAR(13),"")&amp;CHAR(10))-1)),FIND(".",(" "&amp;LEFT(SUBSTITUTE(A178,CHAR(13),""),FIND(CHAR(10),SUBSTITUTE(A178,CHAR(13),"")&amp;CHAR(10))-1))))," ",""))))+1),FIND(" ",(" "&amp;LEFT(SUBSTITUTE(A178,CHAR(13),""),FIND(CHAR(10),SUBSTITUTE(A178,CHAR(13),"")&amp;CHAR(10))-1))&amp;" ",FIND(".",(" "&amp;LEFT(SUBSTITUTE(A178,CHAR(13),""),FIND(CHAR(10),SUBSTITUTE(A178,CHAR(13),"")&amp;CHAR(10))-1))))-(FIND("~",SUBSTITUTE(LEFT((" "&amp;LEFT(SUBSTITUTE(A178,CHAR(13),""),FIND(CHAR(10),SUBSTITUTE(A178,CHAR(13),"")&amp;CHAR(10))-1)),FIND(".",(" "&amp;LEFT(SUBSTITUTE(A178,CHAR(13),""),FIND(CHAR(10),SUBSTITUTE(A178,CHAR(13),"")&amp;CHAR(10))-1))))," ","~",LEN(LEFT((" "&amp;LEFT(SUBSTITUTE(A178,CHAR(13),""),FIND(CHAR(10),SUBSTITUTE(A178,CHAR(13),"")&amp;CHAR(10))-1)),FIND(".",(" "&amp;LEFT(SUBSTITUTE(A178,CHAR(13),""),FIND(CHAR(10),SUBSTITUTE(A178,CHAR(13),"")&amp;CHAR(10))-1)))))-LEN(SUBSTITUTE(LEFT((" "&amp;LEFT(SUBSTITUTE(A178,CHAR(13),""),FIND(CHAR(10),SUBSTITUTE(A178,CHAR(13),"")&amp;CHAR(10))-1)),FIND(".",(" "&amp;LEFT(SUBSTITUTE(A178,CHAR(13),""),FIND(CHAR(10),SUBSTITUTE(A178,CHAR(13),"")&amp;CHAR(10))-1))))," ",""))))+1)),""))</f>
        <v/>
      </c>
    </row>
    <row r="179" customFormat="false" ht="30" hidden="false" customHeight="true" outlineLevel="0" collapsed="false">
      <c r="A179" s="11" t="str">
        <f aca="false">IFERROR(INDEX(Pegar!$A$3:$A$1002,MATCH(175,Pegar!$B$3:$B$1002,0))&amp;IF(LEFT(INDEX(Pegar!$A$3:$A$1003,MATCH(175,Pegar!$B$3:$B$1002,0)+1),5)="DESC=",CHAR(10)&amp;INDEX(Pegar!$A$3:$A$1003,MATCH(175,Pegar!$B$3:$B$1002,0)+1),""),"")</f>
        <v/>
      </c>
      <c r="B179" s="12" t="str">
        <f aca="false">IF(TRIM(A179)="","",IFERROR(MID(SUBSTITUTE(SUBSTITUTE(A179,CHAR(10)," "),CHAR(13)," "),FIND(" MT"," "&amp;SUBSTITUTE(SUBSTITUTE(A179,CHAR(10)," "),CHAR(13)," ")),FIND(" ",SUBSTITUTE(SUBSTITUTE(A179,CHAR(10)," "),CHAR(13)," ")&amp;" ",FIND(" MT"," "&amp;SUBSTITUTE(SUBSTITUTE(A179,CHAR(10)," "),CHAR(13)," ")))-FIND(" MT"," "&amp;SUBSTITUTE(SUBSTITUTE(A179,CHAR(10)," "),CHAR(13)," "))),"MT no encontrado"))</f>
        <v/>
      </c>
      <c r="C179" s="15" t="str">
        <f aca="false">IF(TRIM(A179)="","",IF(D179="",FALSE(),SUBSTITUTE(SUBSTITUTE(SUBSTITUTE(D179,".",""),"0",""),"-","")&lt;&gt;""))</f>
        <v/>
      </c>
      <c r="D179" s="14" t="str">
        <f aca="false">IF(TRIM(A179)="","",IFERROR(MID((" "&amp;LEFT(SUBSTITUTE(A179,CHAR(13),""),FIND(CHAR(10),SUBSTITUTE(A179,CHAR(13),"")&amp;CHAR(10))-1)),(FIND("~",SUBSTITUTE(LEFT((" "&amp;LEFT(SUBSTITUTE(A179,CHAR(13),""),FIND(CHAR(10),SUBSTITUTE(A179,CHAR(13),"")&amp;CHAR(10))-1)),FIND(".",(" "&amp;LEFT(SUBSTITUTE(A179,CHAR(13),""),FIND(CHAR(10),SUBSTITUTE(A179,CHAR(13),"")&amp;CHAR(10))-1))))," ","~",LEN(LEFT((" "&amp;LEFT(SUBSTITUTE(A179,CHAR(13),""),FIND(CHAR(10),SUBSTITUTE(A179,CHAR(13),"")&amp;CHAR(10))-1)),FIND(".",(" "&amp;LEFT(SUBSTITUTE(A179,CHAR(13),""),FIND(CHAR(10),SUBSTITUTE(A179,CHAR(13),"")&amp;CHAR(10))-1)))))-LEN(SUBSTITUTE(LEFT((" "&amp;LEFT(SUBSTITUTE(A179,CHAR(13),""),FIND(CHAR(10),SUBSTITUTE(A179,CHAR(13),"")&amp;CHAR(10))-1)),FIND(".",(" "&amp;LEFT(SUBSTITUTE(A179,CHAR(13),""),FIND(CHAR(10),SUBSTITUTE(A179,CHAR(13),"")&amp;CHAR(10))-1))))," ",""))))+1),FIND(" ",(" "&amp;LEFT(SUBSTITUTE(A179,CHAR(13),""),FIND(CHAR(10),SUBSTITUTE(A179,CHAR(13),"")&amp;CHAR(10))-1))&amp;" ",FIND(".",(" "&amp;LEFT(SUBSTITUTE(A179,CHAR(13),""),FIND(CHAR(10),SUBSTITUTE(A179,CHAR(13),"")&amp;CHAR(10))-1))))-(FIND("~",SUBSTITUTE(LEFT((" "&amp;LEFT(SUBSTITUTE(A179,CHAR(13),""),FIND(CHAR(10),SUBSTITUTE(A179,CHAR(13),"")&amp;CHAR(10))-1)),FIND(".",(" "&amp;LEFT(SUBSTITUTE(A179,CHAR(13),""),FIND(CHAR(10),SUBSTITUTE(A179,CHAR(13),"")&amp;CHAR(10))-1))))," ","~",LEN(LEFT((" "&amp;LEFT(SUBSTITUTE(A179,CHAR(13),""),FIND(CHAR(10),SUBSTITUTE(A179,CHAR(13),"")&amp;CHAR(10))-1)),FIND(".",(" "&amp;LEFT(SUBSTITUTE(A179,CHAR(13),""),FIND(CHAR(10),SUBSTITUTE(A179,CHAR(13),"")&amp;CHAR(10))-1)))))-LEN(SUBSTITUTE(LEFT((" "&amp;LEFT(SUBSTITUTE(A179,CHAR(13),""),FIND(CHAR(10),SUBSTITUTE(A179,CHAR(13),"")&amp;CHAR(10))-1)),FIND(".",(" "&amp;LEFT(SUBSTITUTE(A179,CHAR(13),""),FIND(CHAR(10),SUBSTITUTE(A179,CHAR(13),"")&amp;CHAR(10))-1))))," ",""))))+1)),""))</f>
        <v/>
      </c>
    </row>
    <row r="180" customFormat="false" ht="30" hidden="false" customHeight="true" outlineLevel="0" collapsed="false">
      <c r="A180" s="11" t="str">
        <f aca="false">IFERROR(INDEX(Pegar!$A$3:$A$1002,MATCH(176,Pegar!$B$3:$B$1002,0))&amp;IF(LEFT(INDEX(Pegar!$A$3:$A$1003,MATCH(176,Pegar!$B$3:$B$1002,0)+1),5)="DESC=",CHAR(10)&amp;INDEX(Pegar!$A$3:$A$1003,MATCH(176,Pegar!$B$3:$B$1002,0)+1),""),"")</f>
        <v/>
      </c>
      <c r="B180" s="12" t="str">
        <f aca="false">IF(TRIM(A180)="","",IFERROR(MID(SUBSTITUTE(SUBSTITUTE(A180,CHAR(10)," "),CHAR(13)," "),FIND(" MT"," "&amp;SUBSTITUTE(SUBSTITUTE(A180,CHAR(10)," "),CHAR(13)," ")),FIND(" ",SUBSTITUTE(SUBSTITUTE(A180,CHAR(10)," "),CHAR(13)," ")&amp;" ",FIND(" MT"," "&amp;SUBSTITUTE(SUBSTITUTE(A180,CHAR(10)," "),CHAR(13)," ")))-FIND(" MT"," "&amp;SUBSTITUTE(SUBSTITUTE(A180,CHAR(10)," "),CHAR(13)," "))),"MT no encontrado"))</f>
        <v/>
      </c>
      <c r="C180" s="15" t="str">
        <f aca="false">IF(TRIM(A180)="","",IF(D180="",FALSE(),SUBSTITUTE(SUBSTITUTE(SUBSTITUTE(D180,".",""),"0",""),"-","")&lt;&gt;""))</f>
        <v/>
      </c>
      <c r="D180" s="14" t="str">
        <f aca="false">IF(TRIM(A180)="","",IFERROR(MID((" "&amp;LEFT(SUBSTITUTE(A180,CHAR(13),""),FIND(CHAR(10),SUBSTITUTE(A180,CHAR(13),"")&amp;CHAR(10))-1)),(FIND("~",SUBSTITUTE(LEFT((" "&amp;LEFT(SUBSTITUTE(A180,CHAR(13),""),FIND(CHAR(10),SUBSTITUTE(A180,CHAR(13),"")&amp;CHAR(10))-1)),FIND(".",(" "&amp;LEFT(SUBSTITUTE(A180,CHAR(13),""),FIND(CHAR(10),SUBSTITUTE(A180,CHAR(13),"")&amp;CHAR(10))-1))))," ","~",LEN(LEFT((" "&amp;LEFT(SUBSTITUTE(A180,CHAR(13),""),FIND(CHAR(10),SUBSTITUTE(A180,CHAR(13),"")&amp;CHAR(10))-1)),FIND(".",(" "&amp;LEFT(SUBSTITUTE(A180,CHAR(13),""),FIND(CHAR(10),SUBSTITUTE(A180,CHAR(13),"")&amp;CHAR(10))-1)))))-LEN(SUBSTITUTE(LEFT((" "&amp;LEFT(SUBSTITUTE(A180,CHAR(13),""),FIND(CHAR(10),SUBSTITUTE(A180,CHAR(13),"")&amp;CHAR(10))-1)),FIND(".",(" "&amp;LEFT(SUBSTITUTE(A180,CHAR(13),""),FIND(CHAR(10),SUBSTITUTE(A180,CHAR(13),"")&amp;CHAR(10))-1))))," ",""))))+1),FIND(" ",(" "&amp;LEFT(SUBSTITUTE(A180,CHAR(13),""),FIND(CHAR(10),SUBSTITUTE(A180,CHAR(13),"")&amp;CHAR(10))-1))&amp;" ",FIND(".",(" "&amp;LEFT(SUBSTITUTE(A180,CHAR(13),""),FIND(CHAR(10),SUBSTITUTE(A180,CHAR(13),"")&amp;CHAR(10))-1))))-(FIND("~",SUBSTITUTE(LEFT((" "&amp;LEFT(SUBSTITUTE(A180,CHAR(13),""),FIND(CHAR(10),SUBSTITUTE(A180,CHAR(13),"")&amp;CHAR(10))-1)),FIND(".",(" "&amp;LEFT(SUBSTITUTE(A180,CHAR(13),""),FIND(CHAR(10),SUBSTITUTE(A180,CHAR(13),"")&amp;CHAR(10))-1))))," ","~",LEN(LEFT((" "&amp;LEFT(SUBSTITUTE(A180,CHAR(13),""),FIND(CHAR(10),SUBSTITUTE(A180,CHAR(13),"")&amp;CHAR(10))-1)),FIND(".",(" "&amp;LEFT(SUBSTITUTE(A180,CHAR(13),""),FIND(CHAR(10),SUBSTITUTE(A180,CHAR(13),"")&amp;CHAR(10))-1)))))-LEN(SUBSTITUTE(LEFT((" "&amp;LEFT(SUBSTITUTE(A180,CHAR(13),""),FIND(CHAR(10),SUBSTITUTE(A180,CHAR(13),"")&amp;CHAR(10))-1)),FIND(".",(" "&amp;LEFT(SUBSTITUTE(A180,CHAR(13),""),FIND(CHAR(10),SUBSTITUTE(A180,CHAR(13),"")&amp;CHAR(10))-1))))," ",""))))+1)),""))</f>
        <v/>
      </c>
    </row>
    <row r="181" customFormat="false" ht="30" hidden="false" customHeight="true" outlineLevel="0" collapsed="false">
      <c r="A181" s="11" t="str">
        <f aca="false">IFERROR(INDEX(Pegar!$A$3:$A$1002,MATCH(177,Pegar!$B$3:$B$1002,0))&amp;IF(LEFT(INDEX(Pegar!$A$3:$A$1003,MATCH(177,Pegar!$B$3:$B$1002,0)+1),5)="DESC=",CHAR(10)&amp;INDEX(Pegar!$A$3:$A$1003,MATCH(177,Pegar!$B$3:$B$1002,0)+1),""),"")</f>
        <v/>
      </c>
      <c r="B181" s="12" t="str">
        <f aca="false">IF(TRIM(A181)="","",IFERROR(MID(SUBSTITUTE(SUBSTITUTE(A181,CHAR(10)," "),CHAR(13)," "),FIND(" MT"," "&amp;SUBSTITUTE(SUBSTITUTE(A181,CHAR(10)," "),CHAR(13)," ")),FIND(" ",SUBSTITUTE(SUBSTITUTE(A181,CHAR(10)," "),CHAR(13)," ")&amp;" ",FIND(" MT"," "&amp;SUBSTITUTE(SUBSTITUTE(A181,CHAR(10)," "),CHAR(13)," ")))-FIND(" MT"," "&amp;SUBSTITUTE(SUBSTITUTE(A181,CHAR(10)," "),CHAR(13)," "))),"MT no encontrado"))</f>
        <v/>
      </c>
      <c r="C181" s="15" t="str">
        <f aca="false">IF(TRIM(A181)="","",IF(D181="",FALSE(),SUBSTITUTE(SUBSTITUTE(SUBSTITUTE(D181,".",""),"0",""),"-","")&lt;&gt;""))</f>
        <v/>
      </c>
      <c r="D181" s="14" t="str">
        <f aca="false">IF(TRIM(A181)="","",IFERROR(MID((" "&amp;LEFT(SUBSTITUTE(A181,CHAR(13),""),FIND(CHAR(10),SUBSTITUTE(A181,CHAR(13),"")&amp;CHAR(10))-1)),(FIND("~",SUBSTITUTE(LEFT((" "&amp;LEFT(SUBSTITUTE(A181,CHAR(13),""),FIND(CHAR(10),SUBSTITUTE(A181,CHAR(13),"")&amp;CHAR(10))-1)),FIND(".",(" "&amp;LEFT(SUBSTITUTE(A181,CHAR(13),""),FIND(CHAR(10),SUBSTITUTE(A181,CHAR(13),"")&amp;CHAR(10))-1))))," ","~",LEN(LEFT((" "&amp;LEFT(SUBSTITUTE(A181,CHAR(13),""),FIND(CHAR(10),SUBSTITUTE(A181,CHAR(13),"")&amp;CHAR(10))-1)),FIND(".",(" "&amp;LEFT(SUBSTITUTE(A181,CHAR(13),""),FIND(CHAR(10),SUBSTITUTE(A181,CHAR(13),"")&amp;CHAR(10))-1)))))-LEN(SUBSTITUTE(LEFT((" "&amp;LEFT(SUBSTITUTE(A181,CHAR(13),""),FIND(CHAR(10),SUBSTITUTE(A181,CHAR(13),"")&amp;CHAR(10))-1)),FIND(".",(" "&amp;LEFT(SUBSTITUTE(A181,CHAR(13),""),FIND(CHAR(10),SUBSTITUTE(A181,CHAR(13),"")&amp;CHAR(10))-1))))," ",""))))+1),FIND(" ",(" "&amp;LEFT(SUBSTITUTE(A181,CHAR(13),""),FIND(CHAR(10),SUBSTITUTE(A181,CHAR(13),"")&amp;CHAR(10))-1))&amp;" ",FIND(".",(" "&amp;LEFT(SUBSTITUTE(A181,CHAR(13),""),FIND(CHAR(10),SUBSTITUTE(A181,CHAR(13),"")&amp;CHAR(10))-1))))-(FIND("~",SUBSTITUTE(LEFT((" "&amp;LEFT(SUBSTITUTE(A181,CHAR(13),""),FIND(CHAR(10),SUBSTITUTE(A181,CHAR(13),"")&amp;CHAR(10))-1)),FIND(".",(" "&amp;LEFT(SUBSTITUTE(A181,CHAR(13),""),FIND(CHAR(10),SUBSTITUTE(A181,CHAR(13),"")&amp;CHAR(10))-1))))," ","~",LEN(LEFT((" "&amp;LEFT(SUBSTITUTE(A181,CHAR(13),""),FIND(CHAR(10),SUBSTITUTE(A181,CHAR(13),"")&amp;CHAR(10))-1)),FIND(".",(" "&amp;LEFT(SUBSTITUTE(A181,CHAR(13),""),FIND(CHAR(10),SUBSTITUTE(A181,CHAR(13),"")&amp;CHAR(10))-1)))))-LEN(SUBSTITUTE(LEFT((" "&amp;LEFT(SUBSTITUTE(A181,CHAR(13),""),FIND(CHAR(10),SUBSTITUTE(A181,CHAR(13),"")&amp;CHAR(10))-1)),FIND(".",(" "&amp;LEFT(SUBSTITUTE(A181,CHAR(13),""),FIND(CHAR(10),SUBSTITUTE(A181,CHAR(13),"")&amp;CHAR(10))-1))))," ",""))))+1)),""))</f>
        <v/>
      </c>
    </row>
    <row r="182" customFormat="false" ht="30" hidden="false" customHeight="true" outlineLevel="0" collapsed="false">
      <c r="A182" s="11" t="str">
        <f aca="false">IFERROR(INDEX(Pegar!$A$3:$A$1002,MATCH(178,Pegar!$B$3:$B$1002,0))&amp;IF(LEFT(INDEX(Pegar!$A$3:$A$1003,MATCH(178,Pegar!$B$3:$B$1002,0)+1),5)="DESC=",CHAR(10)&amp;INDEX(Pegar!$A$3:$A$1003,MATCH(178,Pegar!$B$3:$B$1002,0)+1),""),"")</f>
        <v/>
      </c>
      <c r="B182" s="12" t="str">
        <f aca="false">IF(TRIM(A182)="","",IFERROR(MID(SUBSTITUTE(SUBSTITUTE(A182,CHAR(10)," "),CHAR(13)," "),FIND(" MT"," "&amp;SUBSTITUTE(SUBSTITUTE(A182,CHAR(10)," "),CHAR(13)," ")),FIND(" ",SUBSTITUTE(SUBSTITUTE(A182,CHAR(10)," "),CHAR(13)," ")&amp;" ",FIND(" MT"," "&amp;SUBSTITUTE(SUBSTITUTE(A182,CHAR(10)," "),CHAR(13)," ")))-FIND(" MT"," "&amp;SUBSTITUTE(SUBSTITUTE(A182,CHAR(10)," "),CHAR(13)," "))),"MT no encontrado"))</f>
        <v/>
      </c>
      <c r="C182" s="15" t="str">
        <f aca="false">IF(TRIM(A182)="","",IF(D182="",FALSE(),SUBSTITUTE(SUBSTITUTE(SUBSTITUTE(D182,".",""),"0",""),"-","")&lt;&gt;""))</f>
        <v/>
      </c>
      <c r="D182" s="14" t="str">
        <f aca="false">IF(TRIM(A182)="","",IFERROR(MID((" "&amp;LEFT(SUBSTITUTE(A182,CHAR(13),""),FIND(CHAR(10),SUBSTITUTE(A182,CHAR(13),"")&amp;CHAR(10))-1)),(FIND("~",SUBSTITUTE(LEFT((" "&amp;LEFT(SUBSTITUTE(A182,CHAR(13),""),FIND(CHAR(10),SUBSTITUTE(A182,CHAR(13),"")&amp;CHAR(10))-1)),FIND(".",(" "&amp;LEFT(SUBSTITUTE(A182,CHAR(13),""),FIND(CHAR(10),SUBSTITUTE(A182,CHAR(13),"")&amp;CHAR(10))-1))))," ","~",LEN(LEFT((" "&amp;LEFT(SUBSTITUTE(A182,CHAR(13),""),FIND(CHAR(10),SUBSTITUTE(A182,CHAR(13),"")&amp;CHAR(10))-1)),FIND(".",(" "&amp;LEFT(SUBSTITUTE(A182,CHAR(13),""),FIND(CHAR(10),SUBSTITUTE(A182,CHAR(13),"")&amp;CHAR(10))-1)))))-LEN(SUBSTITUTE(LEFT((" "&amp;LEFT(SUBSTITUTE(A182,CHAR(13),""),FIND(CHAR(10),SUBSTITUTE(A182,CHAR(13),"")&amp;CHAR(10))-1)),FIND(".",(" "&amp;LEFT(SUBSTITUTE(A182,CHAR(13),""),FIND(CHAR(10),SUBSTITUTE(A182,CHAR(13),"")&amp;CHAR(10))-1))))," ",""))))+1),FIND(" ",(" "&amp;LEFT(SUBSTITUTE(A182,CHAR(13),""),FIND(CHAR(10),SUBSTITUTE(A182,CHAR(13),"")&amp;CHAR(10))-1))&amp;" ",FIND(".",(" "&amp;LEFT(SUBSTITUTE(A182,CHAR(13),""),FIND(CHAR(10),SUBSTITUTE(A182,CHAR(13),"")&amp;CHAR(10))-1))))-(FIND("~",SUBSTITUTE(LEFT((" "&amp;LEFT(SUBSTITUTE(A182,CHAR(13),""),FIND(CHAR(10),SUBSTITUTE(A182,CHAR(13),"")&amp;CHAR(10))-1)),FIND(".",(" "&amp;LEFT(SUBSTITUTE(A182,CHAR(13),""),FIND(CHAR(10),SUBSTITUTE(A182,CHAR(13),"")&amp;CHAR(10))-1))))," ","~",LEN(LEFT((" "&amp;LEFT(SUBSTITUTE(A182,CHAR(13),""),FIND(CHAR(10),SUBSTITUTE(A182,CHAR(13),"")&amp;CHAR(10))-1)),FIND(".",(" "&amp;LEFT(SUBSTITUTE(A182,CHAR(13),""),FIND(CHAR(10),SUBSTITUTE(A182,CHAR(13),"")&amp;CHAR(10))-1)))))-LEN(SUBSTITUTE(LEFT((" "&amp;LEFT(SUBSTITUTE(A182,CHAR(13),""),FIND(CHAR(10),SUBSTITUTE(A182,CHAR(13),"")&amp;CHAR(10))-1)),FIND(".",(" "&amp;LEFT(SUBSTITUTE(A182,CHAR(13),""),FIND(CHAR(10),SUBSTITUTE(A182,CHAR(13),"")&amp;CHAR(10))-1))))," ",""))))+1)),""))</f>
        <v/>
      </c>
    </row>
    <row r="183" customFormat="false" ht="30" hidden="false" customHeight="true" outlineLevel="0" collapsed="false">
      <c r="A183" s="11" t="str">
        <f aca="false">IFERROR(INDEX(Pegar!$A$3:$A$1002,MATCH(179,Pegar!$B$3:$B$1002,0))&amp;IF(LEFT(INDEX(Pegar!$A$3:$A$1003,MATCH(179,Pegar!$B$3:$B$1002,0)+1),5)="DESC=",CHAR(10)&amp;INDEX(Pegar!$A$3:$A$1003,MATCH(179,Pegar!$B$3:$B$1002,0)+1),""),"")</f>
        <v/>
      </c>
      <c r="B183" s="12" t="str">
        <f aca="false">IF(TRIM(A183)="","",IFERROR(MID(SUBSTITUTE(SUBSTITUTE(A183,CHAR(10)," "),CHAR(13)," "),FIND(" MT"," "&amp;SUBSTITUTE(SUBSTITUTE(A183,CHAR(10)," "),CHAR(13)," ")),FIND(" ",SUBSTITUTE(SUBSTITUTE(A183,CHAR(10)," "),CHAR(13)," ")&amp;" ",FIND(" MT"," "&amp;SUBSTITUTE(SUBSTITUTE(A183,CHAR(10)," "),CHAR(13)," ")))-FIND(" MT"," "&amp;SUBSTITUTE(SUBSTITUTE(A183,CHAR(10)," "),CHAR(13)," "))),"MT no encontrado"))</f>
        <v/>
      </c>
      <c r="C183" s="15" t="str">
        <f aca="false">IF(TRIM(A183)="","",IF(D183="",FALSE(),SUBSTITUTE(SUBSTITUTE(SUBSTITUTE(D183,".",""),"0",""),"-","")&lt;&gt;""))</f>
        <v/>
      </c>
      <c r="D183" s="14" t="str">
        <f aca="false">IF(TRIM(A183)="","",IFERROR(MID((" "&amp;LEFT(SUBSTITUTE(A183,CHAR(13),""),FIND(CHAR(10),SUBSTITUTE(A183,CHAR(13),"")&amp;CHAR(10))-1)),(FIND("~",SUBSTITUTE(LEFT((" "&amp;LEFT(SUBSTITUTE(A183,CHAR(13),""),FIND(CHAR(10),SUBSTITUTE(A183,CHAR(13),"")&amp;CHAR(10))-1)),FIND(".",(" "&amp;LEFT(SUBSTITUTE(A183,CHAR(13),""),FIND(CHAR(10),SUBSTITUTE(A183,CHAR(13),"")&amp;CHAR(10))-1))))," ","~",LEN(LEFT((" "&amp;LEFT(SUBSTITUTE(A183,CHAR(13),""),FIND(CHAR(10),SUBSTITUTE(A183,CHAR(13),"")&amp;CHAR(10))-1)),FIND(".",(" "&amp;LEFT(SUBSTITUTE(A183,CHAR(13),""),FIND(CHAR(10),SUBSTITUTE(A183,CHAR(13),"")&amp;CHAR(10))-1)))))-LEN(SUBSTITUTE(LEFT((" "&amp;LEFT(SUBSTITUTE(A183,CHAR(13),""),FIND(CHAR(10),SUBSTITUTE(A183,CHAR(13),"")&amp;CHAR(10))-1)),FIND(".",(" "&amp;LEFT(SUBSTITUTE(A183,CHAR(13),""),FIND(CHAR(10),SUBSTITUTE(A183,CHAR(13),"")&amp;CHAR(10))-1))))," ",""))))+1),FIND(" ",(" "&amp;LEFT(SUBSTITUTE(A183,CHAR(13),""),FIND(CHAR(10),SUBSTITUTE(A183,CHAR(13),"")&amp;CHAR(10))-1))&amp;" ",FIND(".",(" "&amp;LEFT(SUBSTITUTE(A183,CHAR(13),""),FIND(CHAR(10),SUBSTITUTE(A183,CHAR(13),"")&amp;CHAR(10))-1))))-(FIND("~",SUBSTITUTE(LEFT((" "&amp;LEFT(SUBSTITUTE(A183,CHAR(13),""),FIND(CHAR(10),SUBSTITUTE(A183,CHAR(13),"")&amp;CHAR(10))-1)),FIND(".",(" "&amp;LEFT(SUBSTITUTE(A183,CHAR(13),""),FIND(CHAR(10),SUBSTITUTE(A183,CHAR(13),"")&amp;CHAR(10))-1))))," ","~",LEN(LEFT((" "&amp;LEFT(SUBSTITUTE(A183,CHAR(13),""),FIND(CHAR(10),SUBSTITUTE(A183,CHAR(13),"")&amp;CHAR(10))-1)),FIND(".",(" "&amp;LEFT(SUBSTITUTE(A183,CHAR(13),""),FIND(CHAR(10),SUBSTITUTE(A183,CHAR(13),"")&amp;CHAR(10))-1)))))-LEN(SUBSTITUTE(LEFT((" "&amp;LEFT(SUBSTITUTE(A183,CHAR(13),""),FIND(CHAR(10),SUBSTITUTE(A183,CHAR(13),"")&amp;CHAR(10))-1)),FIND(".",(" "&amp;LEFT(SUBSTITUTE(A183,CHAR(13),""),FIND(CHAR(10),SUBSTITUTE(A183,CHAR(13),"")&amp;CHAR(10))-1))))," ",""))))+1)),""))</f>
        <v/>
      </c>
    </row>
    <row r="184" customFormat="false" ht="30" hidden="false" customHeight="true" outlineLevel="0" collapsed="false">
      <c r="A184" s="11" t="str">
        <f aca="false">IFERROR(INDEX(Pegar!$A$3:$A$1002,MATCH(180,Pegar!$B$3:$B$1002,0))&amp;IF(LEFT(INDEX(Pegar!$A$3:$A$1003,MATCH(180,Pegar!$B$3:$B$1002,0)+1),5)="DESC=",CHAR(10)&amp;INDEX(Pegar!$A$3:$A$1003,MATCH(180,Pegar!$B$3:$B$1002,0)+1),""),"")</f>
        <v/>
      </c>
      <c r="B184" s="12" t="str">
        <f aca="false">IF(TRIM(A184)="","",IFERROR(MID(SUBSTITUTE(SUBSTITUTE(A184,CHAR(10)," "),CHAR(13)," "),FIND(" MT"," "&amp;SUBSTITUTE(SUBSTITUTE(A184,CHAR(10)," "),CHAR(13)," ")),FIND(" ",SUBSTITUTE(SUBSTITUTE(A184,CHAR(10)," "),CHAR(13)," ")&amp;" ",FIND(" MT"," "&amp;SUBSTITUTE(SUBSTITUTE(A184,CHAR(10)," "),CHAR(13)," ")))-FIND(" MT"," "&amp;SUBSTITUTE(SUBSTITUTE(A184,CHAR(10)," "),CHAR(13)," "))),"MT no encontrado"))</f>
        <v/>
      </c>
      <c r="C184" s="15" t="str">
        <f aca="false">IF(TRIM(A184)="","",IF(D184="",FALSE(),SUBSTITUTE(SUBSTITUTE(SUBSTITUTE(D184,".",""),"0",""),"-","")&lt;&gt;""))</f>
        <v/>
      </c>
      <c r="D184" s="14" t="str">
        <f aca="false">IF(TRIM(A184)="","",IFERROR(MID((" "&amp;LEFT(SUBSTITUTE(A184,CHAR(13),""),FIND(CHAR(10),SUBSTITUTE(A184,CHAR(13),"")&amp;CHAR(10))-1)),(FIND("~",SUBSTITUTE(LEFT((" "&amp;LEFT(SUBSTITUTE(A184,CHAR(13),""),FIND(CHAR(10),SUBSTITUTE(A184,CHAR(13),"")&amp;CHAR(10))-1)),FIND(".",(" "&amp;LEFT(SUBSTITUTE(A184,CHAR(13),""),FIND(CHAR(10),SUBSTITUTE(A184,CHAR(13),"")&amp;CHAR(10))-1))))," ","~",LEN(LEFT((" "&amp;LEFT(SUBSTITUTE(A184,CHAR(13),""),FIND(CHAR(10),SUBSTITUTE(A184,CHAR(13),"")&amp;CHAR(10))-1)),FIND(".",(" "&amp;LEFT(SUBSTITUTE(A184,CHAR(13),""),FIND(CHAR(10),SUBSTITUTE(A184,CHAR(13),"")&amp;CHAR(10))-1)))))-LEN(SUBSTITUTE(LEFT((" "&amp;LEFT(SUBSTITUTE(A184,CHAR(13),""),FIND(CHAR(10),SUBSTITUTE(A184,CHAR(13),"")&amp;CHAR(10))-1)),FIND(".",(" "&amp;LEFT(SUBSTITUTE(A184,CHAR(13),""),FIND(CHAR(10),SUBSTITUTE(A184,CHAR(13),"")&amp;CHAR(10))-1))))," ",""))))+1),FIND(" ",(" "&amp;LEFT(SUBSTITUTE(A184,CHAR(13),""),FIND(CHAR(10),SUBSTITUTE(A184,CHAR(13),"")&amp;CHAR(10))-1))&amp;" ",FIND(".",(" "&amp;LEFT(SUBSTITUTE(A184,CHAR(13),""),FIND(CHAR(10),SUBSTITUTE(A184,CHAR(13),"")&amp;CHAR(10))-1))))-(FIND("~",SUBSTITUTE(LEFT((" "&amp;LEFT(SUBSTITUTE(A184,CHAR(13),""),FIND(CHAR(10),SUBSTITUTE(A184,CHAR(13),"")&amp;CHAR(10))-1)),FIND(".",(" "&amp;LEFT(SUBSTITUTE(A184,CHAR(13),""),FIND(CHAR(10),SUBSTITUTE(A184,CHAR(13),"")&amp;CHAR(10))-1))))," ","~",LEN(LEFT((" "&amp;LEFT(SUBSTITUTE(A184,CHAR(13),""),FIND(CHAR(10),SUBSTITUTE(A184,CHAR(13),"")&amp;CHAR(10))-1)),FIND(".",(" "&amp;LEFT(SUBSTITUTE(A184,CHAR(13),""),FIND(CHAR(10),SUBSTITUTE(A184,CHAR(13),"")&amp;CHAR(10))-1)))))-LEN(SUBSTITUTE(LEFT((" "&amp;LEFT(SUBSTITUTE(A184,CHAR(13),""),FIND(CHAR(10),SUBSTITUTE(A184,CHAR(13),"")&amp;CHAR(10))-1)),FIND(".",(" "&amp;LEFT(SUBSTITUTE(A184,CHAR(13),""),FIND(CHAR(10),SUBSTITUTE(A184,CHAR(13),"")&amp;CHAR(10))-1))))," ",""))))+1)),""))</f>
        <v/>
      </c>
    </row>
    <row r="185" customFormat="false" ht="30" hidden="false" customHeight="true" outlineLevel="0" collapsed="false">
      <c r="A185" s="11" t="str">
        <f aca="false">IFERROR(INDEX(Pegar!$A$3:$A$1002,MATCH(181,Pegar!$B$3:$B$1002,0))&amp;IF(LEFT(INDEX(Pegar!$A$3:$A$1003,MATCH(181,Pegar!$B$3:$B$1002,0)+1),5)="DESC=",CHAR(10)&amp;INDEX(Pegar!$A$3:$A$1003,MATCH(181,Pegar!$B$3:$B$1002,0)+1),""),"")</f>
        <v/>
      </c>
      <c r="B185" s="12" t="str">
        <f aca="false">IF(TRIM(A185)="","",IFERROR(MID(SUBSTITUTE(SUBSTITUTE(A185,CHAR(10)," "),CHAR(13)," "),FIND(" MT"," "&amp;SUBSTITUTE(SUBSTITUTE(A185,CHAR(10)," "),CHAR(13)," ")),FIND(" ",SUBSTITUTE(SUBSTITUTE(A185,CHAR(10)," "),CHAR(13)," ")&amp;" ",FIND(" MT"," "&amp;SUBSTITUTE(SUBSTITUTE(A185,CHAR(10)," "),CHAR(13)," ")))-FIND(" MT"," "&amp;SUBSTITUTE(SUBSTITUTE(A185,CHAR(10)," "),CHAR(13)," "))),"MT no encontrado"))</f>
        <v/>
      </c>
      <c r="C185" s="15" t="str">
        <f aca="false">IF(TRIM(A185)="","",IF(D185="",FALSE(),SUBSTITUTE(SUBSTITUTE(SUBSTITUTE(D185,".",""),"0",""),"-","")&lt;&gt;""))</f>
        <v/>
      </c>
      <c r="D185" s="14" t="str">
        <f aca="false">IF(TRIM(A185)="","",IFERROR(MID((" "&amp;LEFT(SUBSTITUTE(A185,CHAR(13),""),FIND(CHAR(10),SUBSTITUTE(A185,CHAR(13),"")&amp;CHAR(10))-1)),(FIND("~",SUBSTITUTE(LEFT((" "&amp;LEFT(SUBSTITUTE(A185,CHAR(13),""),FIND(CHAR(10),SUBSTITUTE(A185,CHAR(13),"")&amp;CHAR(10))-1)),FIND(".",(" "&amp;LEFT(SUBSTITUTE(A185,CHAR(13),""),FIND(CHAR(10),SUBSTITUTE(A185,CHAR(13),"")&amp;CHAR(10))-1))))," ","~",LEN(LEFT((" "&amp;LEFT(SUBSTITUTE(A185,CHAR(13),""),FIND(CHAR(10),SUBSTITUTE(A185,CHAR(13),"")&amp;CHAR(10))-1)),FIND(".",(" "&amp;LEFT(SUBSTITUTE(A185,CHAR(13),""),FIND(CHAR(10),SUBSTITUTE(A185,CHAR(13),"")&amp;CHAR(10))-1)))))-LEN(SUBSTITUTE(LEFT((" "&amp;LEFT(SUBSTITUTE(A185,CHAR(13),""),FIND(CHAR(10),SUBSTITUTE(A185,CHAR(13),"")&amp;CHAR(10))-1)),FIND(".",(" "&amp;LEFT(SUBSTITUTE(A185,CHAR(13),""),FIND(CHAR(10),SUBSTITUTE(A185,CHAR(13),"")&amp;CHAR(10))-1))))," ",""))))+1),FIND(" ",(" "&amp;LEFT(SUBSTITUTE(A185,CHAR(13),""),FIND(CHAR(10),SUBSTITUTE(A185,CHAR(13),"")&amp;CHAR(10))-1))&amp;" ",FIND(".",(" "&amp;LEFT(SUBSTITUTE(A185,CHAR(13),""),FIND(CHAR(10),SUBSTITUTE(A185,CHAR(13),"")&amp;CHAR(10))-1))))-(FIND("~",SUBSTITUTE(LEFT((" "&amp;LEFT(SUBSTITUTE(A185,CHAR(13),""),FIND(CHAR(10),SUBSTITUTE(A185,CHAR(13),"")&amp;CHAR(10))-1)),FIND(".",(" "&amp;LEFT(SUBSTITUTE(A185,CHAR(13),""),FIND(CHAR(10),SUBSTITUTE(A185,CHAR(13),"")&amp;CHAR(10))-1))))," ","~",LEN(LEFT((" "&amp;LEFT(SUBSTITUTE(A185,CHAR(13),""),FIND(CHAR(10),SUBSTITUTE(A185,CHAR(13),"")&amp;CHAR(10))-1)),FIND(".",(" "&amp;LEFT(SUBSTITUTE(A185,CHAR(13),""),FIND(CHAR(10),SUBSTITUTE(A185,CHAR(13),"")&amp;CHAR(10))-1)))))-LEN(SUBSTITUTE(LEFT((" "&amp;LEFT(SUBSTITUTE(A185,CHAR(13),""),FIND(CHAR(10),SUBSTITUTE(A185,CHAR(13),"")&amp;CHAR(10))-1)),FIND(".",(" "&amp;LEFT(SUBSTITUTE(A185,CHAR(13),""),FIND(CHAR(10),SUBSTITUTE(A185,CHAR(13),"")&amp;CHAR(10))-1))))," ",""))))+1)),""))</f>
        <v/>
      </c>
    </row>
    <row r="186" customFormat="false" ht="30" hidden="false" customHeight="true" outlineLevel="0" collapsed="false">
      <c r="A186" s="11" t="str">
        <f aca="false">IFERROR(INDEX(Pegar!$A$3:$A$1002,MATCH(182,Pegar!$B$3:$B$1002,0))&amp;IF(LEFT(INDEX(Pegar!$A$3:$A$1003,MATCH(182,Pegar!$B$3:$B$1002,0)+1),5)="DESC=",CHAR(10)&amp;INDEX(Pegar!$A$3:$A$1003,MATCH(182,Pegar!$B$3:$B$1002,0)+1),""),"")</f>
        <v/>
      </c>
      <c r="B186" s="12" t="str">
        <f aca="false">IF(TRIM(A186)="","",IFERROR(MID(SUBSTITUTE(SUBSTITUTE(A186,CHAR(10)," "),CHAR(13)," "),FIND(" MT"," "&amp;SUBSTITUTE(SUBSTITUTE(A186,CHAR(10)," "),CHAR(13)," ")),FIND(" ",SUBSTITUTE(SUBSTITUTE(A186,CHAR(10)," "),CHAR(13)," ")&amp;" ",FIND(" MT"," "&amp;SUBSTITUTE(SUBSTITUTE(A186,CHAR(10)," "),CHAR(13)," ")))-FIND(" MT"," "&amp;SUBSTITUTE(SUBSTITUTE(A186,CHAR(10)," "),CHAR(13)," "))),"MT no encontrado"))</f>
        <v/>
      </c>
      <c r="C186" s="15" t="str">
        <f aca="false">IF(TRIM(A186)="","",IF(D186="",FALSE(),SUBSTITUTE(SUBSTITUTE(SUBSTITUTE(D186,".",""),"0",""),"-","")&lt;&gt;""))</f>
        <v/>
      </c>
      <c r="D186" s="14" t="str">
        <f aca="false">IF(TRIM(A186)="","",IFERROR(MID((" "&amp;LEFT(SUBSTITUTE(A186,CHAR(13),""),FIND(CHAR(10),SUBSTITUTE(A186,CHAR(13),"")&amp;CHAR(10))-1)),(FIND("~",SUBSTITUTE(LEFT((" "&amp;LEFT(SUBSTITUTE(A186,CHAR(13),""),FIND(CHAR(10),SUBSTITUTE(A186,CHAR(13),"")&amp;CHAR(10))-1)),FIND(".",(" "&amp;LEFT(SUBSTITUTE(A186,CHAR(13),""),FIND(CHAR(10),SUBSTITUTE(A186,CHAR(13),"")&amp;CHAR(10))-1))))," ","~",LEN(LEFT((" "&amp;LEFT(SUBSTITUTE(A186,CHAR(13),""),FIND(CHAR(10),SUBSTITUTE(A186,CHAR(13),"")&amp;CHAR(10))-1)),FIND(".",(" "&amp;LEFT(SUBSTITUTE(A186,CHAR(13),""),FIND(CHAR(10),SUBSTITUTE(A186,CHAR(13),"")&amp;CHAR(10))-1)))))-LEN(SUBSTITUTE(LEFT((" "&amp;LEFT(SUBSTITUTE(A186,CHAR(13),""),FIND(CHAR(10),SUBSTITUTE(A186,CHAR(13),"")&amp;CHAR(10))-1)),FIND(".",(" "&amp;LEFT(SUBSTITUTE(A186,CHAR(13),""),FIND(CHAR(10),SUBSTITUTE(A186,CHAR(13),"")&amp;CHAR(10))-1))))," ",""))))+1),FIND(" ",(" "&amp;LEFT(SUBSTITUTE(A186,CHAR(13),""),FIND(CHAR(10),SUBSTITUTE(A186,CHAR(13),"")&amp;CHAR(10))-1))&amp;" ",FIND(".",(" "&amp;LEFT(SUBSTITUTE(A186,CHAR(13),""),FIND(CHAR(10),SUBSTITUTE(A186,CHAR(13),"")&amp;CHAR(10))-1))))-(FIND("~",SUBSTITUTE(LEFT((" "&amp;LEFT(SUBSTITUTE(A186,CHAR(13),""),FIND(CHAR(10),SUBSTITUTE(A186,CHAR(13),"")&amp;CHAR(10))-1)),FIND(".",(" "&amp;LEFT(SUBSTITUTE(A186,CHAR(13),""),FIND(CHAR(10),SUBSTITUTE(A186,CHAR(13),"")&amp;CHAR(10))-1))))," ","~",LEN(LEFT((" "&amp;LEFT(SUBSTITUTE(A186,CHAR(13),""),FIND(CHAR(10),SUBSTITUTE(A186,CHAR(13),"")&amp;CHAR(10))-1)),FIND(".",(" "&amp;LEFT(SUBSTITUTE(A186,CHAR(13),""),FIND(CHAR(10),SUBSTITUTE(A186,CHAR(13),"")&amp;CHAR(10))-1)))))-LEN(SUBSTITUTE(LEFT((" "&amp;LEFT(SUBSTITUTE(A186,CHAR(13),""),FIND(CHAR(10),SUBSTITUTE(A186,CHAR(13),"")&amp;CHAR(10))-1)),FIND(".",(" "&amp;LEFT(SUBSTITUTE(A186,CHAR(13),""),FIND(CHAR(10),SUBSTITUTE(A186,CHAR(13),"")&amp;CHAR(10))-1))))," ",""))))+1)),""))</f>
        <v/>
      </c>
    </row>
    <row r="187" customFormat="false" ht="30" hidden="false" customHeight="true" outlineLevel="0" collapsed="false">
      <c r="A187" s="11" t="str">
        <f aca="false">IFERROR(INDEX(Pegar!$A$3:$A$1002,MATCH(183,Pegar!$B$3:$B$1002,0))&amp;IF(LEFT(INDEX(Pegar!$A$3:$A$1003,MATCH(183,Pegar!$B$3:$B$1002,0)+1),5)="DESC=",CHAR(10)&amp;INDEX(Pegar!$A$3:$A$1003,MATCH(183,Pegar!$B$3:$B$1002,0)+1),""),"")</f>
        <v/>
      </c>
      <c r="B187" s="12" t="str">
        <f aca="false">IF(TRIM(A187)="","",IFERROR(MID(SUBSTITUTE(SUBSTITUTE(A187,CHAR(10)," "),CHAR(13)," "),FIND(" MT"," "&amp;SUBSTITUTE(SUBSTITUTE(A187,CHAR(10)," "),CHAR(13)," ")),FIND(" ",SUBSTITUTE(SUBSTITUTE(A187,CHAR(10)," "),CHAR(13)," ")&amp;" ",FIND(" MT"," "&amp;SUBSTITUTE(SUBSTITUTE(A187,CHAR(10)," "),CHAR(13)," ")))-FIND(" MT"," "&amp;SUBSTITUTE(SUBSTITUTE(A187,CHAR(10)," "),CHAR(13)," "))),"MT no encontrado"))</f>
        <v/>
      </c>
      <c r="C187" s="15" t="str">
        <f aca="false">IF(TRIM(A187)="","",IF(D187="",FALSE(),SUBSTITUTE(SUBSTITUTE(SUBSTITUTE(D187,".",""),"0",""),"-","")&lt;&gt;""))</f>
        <v/>
      </c>
      <c r="D187" s="14" t="str">
        <f aca="false">IF(TRIM(A187)="","",IFERROR(MID((" "&amp;LEFT(SUBSTITUTE(A187,CHAR(13),""),FIND(CHAR(10),SUBSTITUTE(A187,CHAR(13),"")&amp;CHAR(10))-1)),(FIND("~",SUBSTITUTE(LEFT((" "&amp;LEFT(SUBSTITUTE(A187,CHAR(13),""),FIND(CHAR(10),SUBSTITUTE(A187,CHAR(13),"")&amp;CHAR(10))-1)),FIND(".",(" "&amp;LEFT(SUBSTITUTE(A187,CHAR(13),""),FIND(CHAR(10),SUBSTITUTE(A187,CHAR(13),"")&amp;CHAR(10))-1))))," ","~",LEN(LEFT((" "&amp;LEFT(SUBSTITUTE(A187,CHAR(13),""),FIND(CHAR(10),SUBSTITUTE(A187,CHAR(13),"")&amp;CHAR(10))-1)),FIND(".",(" "&amp;LEFT(SUBSTITUTE(A187,CHAR(13),""),FIND(CHAR(10),SUBSTITUTE(A187,CHAR(13),"")&amp;CHAR(10))-1)))))-LEN(SUBSTITUTE(LEFT((" "&amp;LEFT(SUBSTITUTE(A187,CHAR(13),""),FIND(CHAR(10),SUBSTITUTE(A187,CHAR(13),"")&amp;CHAR(10))-1)),FIND(".",(" "&amp;LEFT(SUBSTITUTE(A187,CHAR(13),""),FIND(CHAR(10),SUBSTITUTE(A187,CHAR(13),"")&amp;CHAR(10))-1))))," ",""))))+1),FIND(" ",(" "&amp;LEFT(SUBSTITUTE(A187,CHAR(13),""),FIND(CHAR(10),SUBSTITUTE(A187,CHAR(13),"")&amp;CHAR(10))-1))&amp;" ",FIND(".",(" "&amp;LEFT(SUBSTITUTE(A187,CHAR(13),""),FIND(CHAR(10),SUBSTITUTE(A187,CHAR(13),"")&amp;CHAR(10))-1))))-(FIND("~",SUBSTITUTE(LEFT((" "&amp;LEFT(SUBSTITUTE(A187,CHAR(13),""),FIND(CHAR(10),SUBSTITUTE(A187,CHAR(13),"")&amp;CHAR(10))-1)),FIND(".",(" "&amp;LEFT(SUBSTITUTE(A187,CHAR(13),""),FIND(CHAR(10),SUBSTITUTE(A187,CHAR(13),"")&amp;CHAR(10))-1))))," ","~",LEN(LEFT((" "&amp;LEFT(SUBSTITUTE(A187,CHAR(13),""),FIND(CHAR(10),SUBSTITUTE(A187,CHAR(13),"")&amp;CHAR(10))-1)),FIND(".",(" "&amp;LEFT(SUBSTITUTE(A187,CHAR(13),""),FIND(CHAR(10),SUBSTITUTE(A187,CHAR(13),"")&amp;CHAR(10))-1)))))-LEN(SUBSTITUTE(LEFT((" "&amp;LEFT(SUBSTITUTE(A187,CHAR(13),""),FIND(CHAR(10),SUBSTITUTE(A187,CHAR(13),"")&amp;CHAR(10))-1)),FIND(".",(" "&amp;LEFT(SUBSTITUTE(A187,CHAR(13),""),FIND(CHAR(10),SUBSTITUTE(A187,CHAR(13),"")&amp;CHAR(10))-1))))," ",""))))+1)),""))</f>
        <v/>
      </c>
    </row>
    <row r="188" customFormat="false" ht="30" hidden="false" customHeight="true" outlineLevel="0" collapsed="false">
      <c r="A188" s="11" t="str">
        <f aca="false">IFERROR(INDEX(Pegar!$A$3:$A$1002,MATCH(184,Pegar!$B$3:$B$1002,0))&amp;IF(LEFT(INDEX(Pegar!$A$3:$A$1003,MATCH(184,Pegar!$B$3:$B$1002,0)+1),5)="DESC=",CHAR(10)&amp;INDEX(Pegar!$A$3:$A$1003,MATCH(184,Pegar!$B$3:$B$1002,0)+1),""),"")</f>
        <v/>
      </c>
      <c r="B188" s="12" t="str">
        <f aca="false">IF(TRIM(A188)="","",IFERROR(MID(SUBSTITUTE(SUBSTITUTE(A188,CHAR(10)," "),CHAR(13)," "),FIND(" MT"," "&amp;SUBSTITUTE(SUBSTITUTE(A188,CHAR(10)," "),CHAR(13)," ")),FIND(" ",SUBSTITUTE(SUBSTITUTE(A188,CHAR(10)," "),CHAR(13)," ")&amp;" ",FIND(" MT"," "&amp;SUBSTITUTE(SUBSTITUTE(A188,CHAR(10)," "),CHAR(13)," ")))-FIND(" MT"," "&amp;SUBSTITUTE(SUBSTITUTE(A188,CHAR(10)," "),CHAR(13)," "))),"MT no encontrado"))</f>
        <v/>
      </c>
      <c r="C188" s="15" t="str">
        <f aca="false">IF(TRIM(A188)="","",IF(D188="",FALSE(),SUBSTITUTE(SUBSTITUTE(SUBSTITUTE(D188,".",""),"0",""),"-","")&lt;&gt;""))</f>
        <v/>
      </c>
      <c r="D188" s="14" t="str">
        <f aca="false">IF(TRIM(A188)="","",IFERROR(MID((" "&amp;LEFT(SUBSTITUTE(A188,CHAR(13),""),FIND(CHAR(10),SUBSTITUTE(A188,CHAR(13),"")&amp;CHAR(10))-1)),(FIND("~",SUBSTITUTE(LEFT((" "&amp;LEFT(SUBSTITUTE(A188,CHAR(13),""),FIND(CHAR(10),SUBSTITUTE(A188,CHAR(13),"")&amp;CHAR(10))-1)),FIND(".",(" "&amp;LEFT(SUBSTITUTE(A188,CHAR(13),""),FIND(CHAR(10),SUBSTITUTE(A188,CHAR(13),"")&amp;CHAR(10))-1))))," ","~",LEN(LEFT((" "&amp;LEFT(SUBSTITUTE(A188,CHAR(13),""),FIND(CHAR(10),SUBSTITUTE(A188,CHAR(13),"")&amp;CHAR(10))-1)),FIND(".",(" "&amp;LEFT(SUBSTITUTE(A188,CHAR(13),""),FIND(CHAR(10),SUBSTITUTE(A188,CHAR(13),"")&amp;CHAR(10))-1)))))-LEN(SUBSTITUTE(LEFT((" "&amp;LEFT(SUBSTITUTE(A188,CHAR(13),""),FIND(CHAR(10),SUBSTITUTE(A188,CHAR(13),"")&amp;CHAR(10))-1)),FIND(".",(" "&amp;LEFT(SUBSTITUTE(A188,CHAR(13),""),FIND(CHAR(10),SUBSTITUTE(A188,CHAR(13),"")&amp;CHAR(10))-1))))," ",""))))+1),FIND(" ",(" "&amp;LEFT(SUBSTITUTE(A188,CHAR(13),""),FIND(CHAR(10),SUBSTITUTE(A188,CHAR(13),"")&amp;CHAR(10))-1))&amp;" ",FIND(".",(" "&amp;LEFT(SUBSTITUTE(A188,CHAR(13),""),FIND(CHAR(10),SUBSTITUTE(A188,CHAR(13),"")&amp;CHAR(10))-1))))-(FIND("~",SUBSTITUTE(LEFT((" "&amp;LEFT(SUBSTITUTE(A188,CHAR(13),""),FIND(CHAR(10),SUBSTITUTE(A188,CHAR(13),"")&amp;CHAR(10))-1)),FIND(".",(" "&amp;LEFT(SUBSTITUTE(A188,CHAR(13),""),FIND(CHAR(10),SUBSTITUTE(A188,CHAR(13),"")&amp;CHAR(10))-1))))," ","~",LEN(LEFT((" "&amp;LEFT(SUBSTITUTE(A188,CHAR(13),""),FIND(CHAR(10),SUBSTITUTE(A188,CHAR(13),"")&amp;CHAR(10))-1)),FIND(".",(" "&amp;LEFT(SUBSTITUTE(A188,CHAR(13),""),FIND(CHAR(10),SUBSTITUTE(A188,CHAR(13),"")&amp;CHAR(10))-1)))))-LEN(SUBSTITUTE(LEFT((" "&amp;LEFT(SUBSTITUTE(A188,CHAR(13),""),FIND(CHAR(10),SUBSTITUTE(A188,CHAR(13),"")&amp;CHAR(10))-1)),FIND(".",(" "&amp;LEFT(SUBSTITUTE(A188,CHAR(13),""),FIND(CHAR(10),SUBSTITUTE(A188,CHAR(13),"")&amp;CHAR(10))-1))))," ",""))))+1)),""))</f>
        <v/>
      </c>
    </row>
    <row r="189" customFormat="false" ht="30" hidden="false" customHeight="true" outlineLevel="0" collapsed="false">
      <c r="A189" s="11" t="str">
        <f aca="false">IFERROR(INDEX(Pegar!$A$3:$A$1002,MATCH(185,Pegar!$B$3:$B$1002,0))&amp;IF(LEFT(INDEX(Pegar!$A$3:$A$1003,MATCH(185,Pegar!$B$3:$B$1002,0)+1),5)="DESC=",CHAR(10)&amp;INDEX(Pegar!$A$3:$A$1003,MATCH(185,Pegar!$B$3:$B$1002,0)+1),""),"")</f>
        <v/>
      </c>
      <c r="B189" s="12" t="str">
        <f aca="false">IF(TRIM(A189)="","",IFERROR(MID(SUBSTITUTE(SUBSTITUTE(A189,CHAR(10)," "),CHAR(13)," "),FIND(" MT"," "&amp;SUBSTITUTE(SUBSTITUTE(A189,CHAR(10)," "),CHAR(13)," ")),FIND(" ",SUBSTITUTE(SUBSTITUTE(A189,CHAR(10)," "),CHAR(13)," ")&amp;" ",FIND(" MT"," "&amp;SUBSTITUTE(SUBSTITUTE(A189,CHAR(10)," "),CHAR(13)," ")))-FIND(" MT"," "&amp;SUBSTITUTE(SUBSTITUTE(A189,CHAR(10)," "),CHAR(13)," "))),"MT no encontrado"))</f>
        <v/>
      </c>
      <c r="C189" s="15" t="str">
        <f aca="false">IF(TRIM(A189)="","",IF(D189="",FALSE(),SUBSTITUTE(SUBSTITUTE(SUBSTITUTE(D189,".",""),"0",""),"-","")&lt;&gt;""))</f>
        <v/>
      </c>
      <c r="D189" s="14" t="str">
        <f aca="false">IF(TRIM(A189)="","",IFERROR(MID((" "&amp;LEFT(SUBSTITUTE(A189,CHAR(13),""),FIND(CHAR(10),SUBSTITUTE(A189,CHAR(13),"")&amp;CHAR(10))-1)),(FIND("~",SUBSTITUTE(LEFT((" "&amp;LEFT(SUBSTITUTE(A189,CHAR(13),""),FIND(CHAR(10),SUBSTITUTE(A189,CHAR(13),"")&amp;CHAR(10))-1)),FIND(".",(" "&amp;LEFT(SUBSTITUTE(A189,CHAR(13),""),FIND(CHAR(10),SUBSTITUTE(A189,CHAR(13),"")&amp;CHAR(10))-1))))," ","~",LEN(LEFT((" "&amp;LEFT(SUBSTITUTE(A189,CHAR(13),""),FIND(CHAR(10),SUBSTITUTE(A189,CHAR(13),"")&amp;CHAR(10))-1)),FIND(".",(" "&amp;LEFT(SUBSTITUTE(A189,CHAR(13),""),FIND(CHAR(10),SUBSTITUTE(A189,CHAR(13),"")&amp;CHAR(10))-1)))))-LEN(SUBSTITUTE(LEFT((" "&amp;LEFT(SUBSTITUTE(A189,CHAR(13),""),FIND(CHAR(10),SUBSTITUTE(A189,CHAR(13),"")&amp;CHAR(10))-1)),FIND(".",(" "&amp;LEFT(SUBSTITUTE(A189,CHAR(13),""),FIND(CHAR(10),SUBSTITUTE(A189,CHAR(13),"")&amp;CHAR(10))-1))))," ",""))))+1),FIND(" ",(" "&amp;LEFT(SUBSTITUTE(A189,CHAR(13),""),FIND(CHAR(10),SUBSTITUTE(A189,CHAR(13),"")&amp;CHAR(10))-1))&amp;" ",FIND(".",(" "&amp;LEFT(SUBSTITUTE(A189,CHAR(13),""),FIND(CHAR(10),SUBSTITUTE(A189,CHAR(13),"")&amp;CHAR(10))-1))))-(FIND("~",SUBSTITUTE(LEFT((" "&amp;LEFT(SUBSTITUTE(A189,CHAR(13),""),FIND(CHAR(10),SUBSTITUTE(A189,CHAR(13),"")&amp;CHAR(10))-1)),FIND(".",(" "&amp;LEFT(SUBSTITUTE(A189,CHAR(13),""),FIND(CHAR(10),SUBSTITUTE(A189,CHAR(13),"")&amp;CHAR(10))-1))))," ","~",LEN(LEFT((" "&amp;LEFT(SUBSTITUTE(A189,CHAR(13),""),FIND(CHAR(10),SUBSTITUTE(A189,CHAR(13),"")&amp;CHAR(10))-1)),FIND(".",(" "&amp;LEFT(SUBSTITUTE(A189,CHAR(13),""),FIND(CHAR(10),SUBSTITUTE(A189,CHAR(13),"")&amp;CHAR(10))-1)))))-LEN(SUBSTITUTE(LEFT((" "&amp;LEFT(SUBSTITUTE(A189,CHAR(13),""),FIND(CHAR(10),SUBSTITUTE(A189,CHAR(13),"")&amp;CHAR(10))-1)),FIND(".",(" "&amp;LEFT(SUBSTITUTE(A189,CHAR(13),""),FIND(CHAR(10),SUBSTITUTE(A189,CHAR(13),"")&amp;CHAR(10))-1))))," ",""))))+1)),""))</f>
        <v/>
      </c>
    </row>
    <row r="190" customFormat="false" ht="30" hidden="false" customHeight="true" outlineLevel="0" collapsed="false">
      <c r="A190" s="11" t="str">
        <f aca="false">IFERROR(INDEX(Pegar!$A$3:$A$1002,MATCH(186,Pegar!$B$3:$B$1002,0))&amp;IF(LEFT(INDEX(Pegar!$A$3:$A$1003,MATCH(186,Pegar!$B$3:$B$1002,0)+1),5)="DESC=",CHAR(10)&amp;INDEX(Pegar!$A$3:$A$1003,MATCH(186,Pegar!$B$3:$B$1002,0)+1),""),"")</f>
        <v/>
      </c>
      <c r="B190" s="12" t="str">
        <f aca="false">IF(TRIM(A190)="","",IFERROR(MID(SUBSTITUTE(SUBSTITUTE(A190,CHAR(10)," "),CHAR(13)," "),FIND(" MT"," "&amp;SUBSTITUTE(SUBSTITUTE(A190,CHAR(10)," "),CHAR(13)," ")),FIND(" ",SUBSTITUTE(SUBSTITUTE(A190,CHAR(10)," "),CHAR(13)," ")&amp;" ",FIND(" MT"," "&amp;SUBSTITUTE(SUBSTITUTE(A190,CHAR(10)," "),CHAR(13)," ")))-FIND(" MT"," "&amp;SUBSTITUTE(SUBSTITUTE(A190,CHAR(10)," "),CHAR(13)," "))),"MT no encontrado"))</f>
        <v/>
      </c>
      <c r="C190" s="15" t="str">
        <f aca="false">IF(TRIM(A190)="","",IF(D190="",FALSE(),SUBSTITUTE(SUBSTITUTE(SUBSTITUTE(D190,".",""),"0",""),"-","")&lt;&gt;""))</f>
        <v/>
      </c>
      <c r="D190" s="14" t="str">
        <f aca="false">IF(TRIM(A190)="","",IFERROR(MID((" "&amp;LEFT(SUBSTITUTE(A190,CHAR(13),""),FIND(CHAR(10),SUBSTITUTE(A190,CHAR(13),"")&amp;CHAR(10))-1)),(FIND("~",SUBSTITUTE(LEFT((" "&amp;LEFT(SUBSTITUTE(A190,CHAR(13),""),FIND(CHAR(10),SUBSTITUTE(A190,CHAR(13),"")&amp;CHAR(10))-1)),FIND(".",(" "&amp;LEFT(SUBSTITUTE(A190,CHAR(13),""),FIND(CHAR(10),SUBSTITUTE(A190,CHAR(13),"")&amp;CHAR(10))-1))))," ","~",LEN(LEFT((" "&amp;LEFT(SUBSTITUTE(A190,CHAR(13),""),FIND(CHAR(10),SUBSTITUTE(A190,CHAR(13),"")&amp;CHAR(10))-1)),FIND(".",(" "&amp;LEFT(SUBSTITUTE(A190,CHAR(13),""),FIND(CHAR(10),SUBSTITUTE(A190,CHAR(13),"")&amp;CHAR(10))-1)))))-LEN(SUBSTITUTE(LEFT((" "&amp;LEFT(SUBSTITUTE(A190,CHAR(13),""),FIND(CHAR(10),SUBSTITUTE(A190,CHAR(13),"")&amp;CHAR(10))-1)),FIND(".",(" "&amp;LEFT(SUBSTITUTE(A190,CHAR(13),""),FIND(CHAR(10),SUBSTITUTE(A190,CHAR(13),"")&amp;CHAR(10))-1))))," ",""))))+1),FIND(" ",(" "&amp;LEFT(SUBSTITUTE(A190,CHAR(13),""),FIND(CHAR(10),SUBSTITUTE(A190,CHAR(13),"")&amp;CHAR(10))-1))&amp;" ",FIND(".",(" "&amp;LEFT(SUBSTITUTE(A190,CHAR(13),""),FIND(CHAR(10),SUBSTITUTE(A190,CHAR(13),"")&amp;CHAR(10))-1))))-(FIND("~",SUBSTITUTE(LEFT((" "&amp;LEFT(SUBSTITUTE(A190,CHAR(13),""),FIND(CHAR(10),SUBSTITUTE(A190,CHAR(13),"")&amp;CHAR(10))-1)),FIND(".",(" "&amp;LEFT(SUBSTITUTE(A190,CHAR(13),""),FIND(CHAR(10),SUBSTITUTE(A190,CHAR(13),"")&amp;CHAR(10))-1))))," ","~",LEN(LEFT((" "&amp;LEFT(SUBSTITUTE(A190,CHAR(13),""),FIND(CHAR(10),SUBSTITUTE(A190,CHAR(13),"")&amp;CHAR(10))-1)),FIND(".",(" "&amp;LEFT(SUBSTITUTE(A190,CHAR(13),""),FIND(CHAR(10),SUBSTITUTE(A190,CHAR(13),"")&amp;CHAR(10))-1)))))-LEN(SUBSTITUTE(LEFT((" "&amp;LEFT(SUBSTITUTE(A190,CHAR(13),""),FIND(CHAR(10),SUBSTITUTE(A190,CHAR(13),"")&amp;CHAR(10))-1)),FIND(".",(" "&amp;LEFT(SUBSTITUTE(A190,CHAR(13),""),FIND(CHAR(10),SUBSTITUTE(A190,CHAR(13),"")&amp;CHAR(10))-1))))," ",""))))+1)),""))</f>
        <v/>
      </c>
    </row>
    <row r="191" customFormat="false" ht="30" hidden="false" customHeight="true" outlineLevel="0" collapsed="false">
      <c r="A191" s="11" t="str">
        <f aca="false">IFERROR(INDEX(Pegar!$A$3:$A$1002,MATCH(187,Pegar!$B$3:$B$1002,0))&amp;IF(LEFT(INDEX(Pegar!$A$3:$A$1003,MATCH(187,Pegar!$B$3:$B$1002,0)+1),5)="DESC=",CHAR(10)&amp;INDEX(Pegar!$A$3:$A$1003,MATCH(187,Pegar!$B$3:$B$1002,0)+1),""),"")</f>
        <v/>
      </c>
      <c r="B191" s="12" t="str">
        <f aca="false">IF(TRIM(A191)="","",IFERROR(MID(SUBSTITUTE(SUBSTITUTE(A191,CHAR(10)," "),CHAR(13)," "),FIND(" MT"," "&amp;SUBSTITUTE(SUBSTITUTE(A191,CHAR(10)," "),CHAR(13)," ")),FIND(" ",SUBSTITUTE(SUBSTITUTE(A191,CHAR(10)," "),CHAR(13)," ")&amp;" ",FIND(" MT"," "&amp;SUBSTITUTE(SUBSTITUTE(A191,CHAR(10)," "),CHAR(13)," ")))-FIND(" MT"," "&amp;SUBSTITUTE(SUBSTITUTE(A191,CHAR(10)," "),CHAR(13)," "))),"MT no encontrado"))</f>
        <v/>
      </c>
      <c r="C191" s="15" t="str">
        <f aca="false">IF(TRIM(A191)="","",IF(D191="",FALSE(),SUBSTITUTE(SUBSTITUTE(SUBSTITUTE(D191,".",""),"0",""),"-","")&lt;&gt;""))</f>
        <v/>
      </c>
      <c r="D191" s="14" t="str">
        <f aca="false">IF(TRIM(A191)="","",IFERROR(MID((" "&amp;LEFT(SUBSTITUTE(A191,CHAR(13),""),FIND(CHAR(10),SUBSTITUTE(A191,CHAR(13),"")&amp;CHAR(10))-1)),(FIND("~",SUBSTITUTE(LEFT((" "&amp;LEFT(SUBSTITUTE(A191,CHAR(13),""),FIND(CHAR(10),SUBSTITUTE(A191,CHAR(13),"")&amp;CHAR(10))-1)),FIND(".",(" "&amp;LEFT(SUBSTITUTE(A191,CHAR(13),""),FIND(CHAR(10),SUBSTITUTE(A191,CHAR(13),"")&amp;CHAR(10))-1))))," ","~",LEN(LEFT((" "&amp;LEFT(SUBSTITUTE(A191,CHAR(13),""),FIND(CHAR(10),SUBSTITUTE(A191,CHAR(13),"")&amp;CHAR(10))-1)),FIND(".",(" "&amp;LEFT(SUBSTITUTE(A191,CHAR(13),""),FIND(CHAR(10),SUBSTITUTE(A191,CHAR(13),"")&amp;CHAR(10))-1)))))-LEN(SUBSTITUTE(LEFT((" "&amp;LEFT(SUBSTITUTE(A191,CHAR(13),""),FIND(CHAR(10),SUBSTITUTE(A191,CHAR(13),"")&amp;CHAR(10))-1)),FIND(".",(" "&amp;LEFT(SUBSTITUTE(A191,CHAR(13),""),FIND(CHAR(10),SUBSTITUTE(A191,CHAR(13),"")&amp;CHAR(10))-1))))," ",""))))+1),FIND(" ",(" "&amp;LEFT(SUBSTITUTE(A191,CHAR(13),""),FIND(CHAR(10),SUBSTITUTE(A191,CHAR(13),"")&amp;CHAR(10))-1))&amp;" ",FIND(".",(" "&amp;LEFT(SUBSTITUTE(A191,CHAR(13),""),FIND(CHAR(10),SUBSTITUTE(A191,CHAR(13),"")&amp;CHAR(10))-1))))-(FIND("~",SUBSTITUTE(LEFT((" "&amp;LEFT(SUBSTITUTE(A191,CHAR(13),""),FIND(CHAR(10),SUBSTITUTE(A191,CHAR(13),"")&amp;CHAR(10))-1)),FIND(".",(" "&amp;LEFT(SUBSTITUTE(A191,CHAR(13),""),FIND(CHAR(10),SUBSTITUTE(A191,CHAR(13),"")&amp;CHAR(10))-1))))," ","~",LEN(LEFT((" "&amp;LEFT(SUBSTITUTE(A191,CHAR(13),""),FIND(CHAR(10),SUBSTITUTE(A191,CHAR(13),"")&amp;CHAR(10))-1)),FIND(".",(" "&amp;LEFT(SUBSTITUTE(A191,CHAR(13),""),FIND(CHAR(10),SUBSTITUTE(A191,CHAR(13),"")&amp;CHAR(10))-1)))))-LEN(SUBSTITUTE(LEFT((" "&amp;LEFT(SUBSTITUTE(A191,CHAR(13),""),FIND(CHAR(10),SUBSTITUTE(A191,CHAR(13),"")&amp;CHAR(10))-1)),FIND(".",(" "&amp;LEFT(SUBSTITUTE(A191,CHAR(13),""),FIND(CHAR(10),SUBSTITUTE(A191,CHAR(13),"")&amp;CHAR(10))-1))))," ",""))))+1)),""))</f>
        <v/>
      </c>
    </row>
    <row r="192" customFormat="false" ht="30" hidden="false" customHeight="true" outlineLevel="0" collapsed="false">
      <c r="A192" s="11" t="str">
        <f aca="false">IFERROR(INDEX(Pegar!$A$3:$A$1002,MATCH(188,Pegar!$B$3:$B$1002,0))&amp;IF(LEFT(INDEX(Pegar!$A$3:$A$1003,MATCH(188,Pegar!$B$3:$B$1002,0)+1),5)="DESC=",CHAR(10)&amp;INDEX(Pegar!$A$3:$A$1003,MATCH(188,Pegar!$B$3:$B$1002,0)+1),""),"")</f>
        <v/>
      </c>
      <c r="B192" s="12" t="str">
        <f aca="false">IF(TRIM(A192)="","",IFERROR(MID(SUBSTITUTE(SUBSTITUTE(A192,CHAR(10)," "),CHAR(13)," "),FIND(" MT"," "&amp;SUBSTITUTE(SUBSTITUTE(A192,CHAR(10)," "),CHAR(13)," ")),FIND(" ",SUBSTITUTE(SUBSTITUTE(A192,CHAR(10)," "),CHAR(13)," ")&amp;" ",FIND(" MT"," "&amp;SUBSTITUTE(SUBSTITUTE(A192,CHAR(10)," "),CHAR(13)," ")))-FIND(" MT"," "&amp;SUBSTITUTE(SUBSTITUTE(A192,CHAR(10)," "),CHAR(13)," "))),"MT no encontrado"))</f>
        <v/>
      </c>
      <c r="C192" s="15" t="str">
        <f aca="false">IF(TRIM(A192)="","",IF(D192="",FALSE(),SUBSTITUTE(SUBSTITUTE(SUBSTITUTE(D192,".",""),"0",""),"-","")&lt;&gt;""))</f>
        <v/>
      </c>
      <c r="D192" s="14" t="str">
        <f aca="false">IF(TRIM(A192)="","",IFERROR(MID((" "&amp;LEFT(SUBSTITUTE(A192,CHAR(13),""),FIND(CHAR(10),SUBSTITUTE(A192,CHAR(13),"")&amp;CHAR(10))-1)),(FIND("~",SUBSTITUTE(LEFT((" "&amp;LEFT(SUBSTITUTE(A192,CHAR(13),""),FIND(CHAR(10),SUBSTITUTE(A192,CHAR(13),"")&amp;CHAR(10))-1)),FIND(".",(" "&amp;LEFT(SUBSTITUTE(A192,CHAR(13),""),FIND(CHAR(10),SUBSTITUTE(A192,CHAR(13),"")&amp;CHAR(10))-1))))," ","~",LEN(LEFT((" "&amp;LEFT(SUBSTITUTE(A192,CHAR(13),""),FIND(CHAR(10),SUBSTITUTE(A192,CHAR(13),"")&amp;CHAR(10))-1)),FIND(".",(" "&amp;LEFT(SUBSTITUTE(A192,CHAR(13),""),FIND(CHAR(10),SUBSTITUTE(A192,CHAR(13),"")&amp;CHAR(10))-1)))))-LEN(SUBSTITUTE(LEFT((" "&amp;LEFT(SUBSTITUTE(A192,CHAR(13),""),FIND(CHAR(10),SUBSTITUTE(A192,CHAR(13),"")&amp;CHAR(10))-1)),FIND(".",(" "&amp;LEFT(SUBSTITUTE(A192,CHAR(13),""),FIND(CHAR(10),SUBSTITUTE(A192,CHAR(13),"")&amp;CHAR(10))-1))))," ",""))))+1),FIND(" ",(" "&amp;LEFT(SUBSTITUTE(A192,CHAR(13),""),FIND(CHAR(10),SUBSTITUTE(A192,CHAR(13),"")&amp;CHAR(10))-1))&amp;" ",FIND(".",(" "&amp;LEFT(SUBSTITUTE(A192,CHAR(13),""),FIND(CHAR(10),SUBSTITUTE(A192,CHAR(13),"")&amp;CHAR(10))-1))))-(FIND("~",SUBSTITUTE(LEFT((" "&amp;LEFT(SUBSTITUTE(A192,CHAR(13),""),FIND(CHAR(10),SUBSTITUTE(A192,CHAR(13),"")&amp;CHAR(10))-1)),FIND(".",(" "&amp;LEFT(SUBSTITUTE(A192,CHAR(13),""),FIND(CHAR(10),SUBSTITUTE(A192,CHAR(13),"")&amp;CHAR(10))-1))))," ","~",LEN(LEFT((" "&amp;LEFT(SUBSTITUTE(A192,CHAR(13),""),FIND(CHAR(10),SUBSTITUTE(A192,CHAR(13),"")&amp;CHAR(10))-1)),FIND(".",(" "&amp;LEFT(SUBSTITUTE(A192,CHAR(13),""),FIND(CHAR(10),SUBSTITUTE(A192,CHAR(13),"")&amp;CHAR(10))-1)))))-LEN(SUBSTITUTE(LEFT((" "&amp;LEFT(SUBSTITUTE(A192,CHAR(13),""),FIND(CHAR(10),SUBSTITUTE(A192,CHAR(13),"")&amp;CHAR(10))-1)),FIND(".",(" "&amp;LEFT(SUBSTITUTE(A192,CHAR(13),""),FIND(CHAR(10),SUBSTITUTE(A192,CHAR(13),"")&amp;CHAR(10))-1))))," ",""))))+1)),""))</f>
        <v/>
      </c>
    </row>
    <row r="193" customFormat="false" ht="30" hidden="false" customHeight="true" outlineLevel="0" collapsed="false">
      <c r="A193" s="11" t="str">
        <f aca="false">IFERROR(INDEX(Pegar!$A$3:$A$1002,MATCH(189,Pegar!$B$3:$B$1002,0))&amp;IF(LEFT(INDEX(Pegar!$A$3:$A$1003,MATCH(189,Pegar!$B$3:$B$1002,0)+1),5)="DESC=",CHAR(10)&amp;INDEX(Pegar!$A$3:$A$1003,MATCH(189,Pegar!$B$3:$B$1002,0)+1),""),"")</f>
        <v/>
      </c>
      <c r="B193" s="12" t="str">
        <f aca="false">IF(TRIM(A193)="","",IFERROR(MID(SUBSTITUTE(SUBSTITUTE(A193,CHAR(10)," "),CHAR(13)," "),FIND(" MT"," "&amp;SUBSTITUTE(SUBSTITUTE(A193,CHAR(10)," "),CHAR(13)," ")),FIND(" ",SUBSTITUTE(SUBSTITUTE(A193,CHAR(10)," "),CHAR(13)," ")&amp;" ",FIND(" MT"," "&amp;SUBSTITUTE(SUBSTITUTE(A193,CHAR(10)," "),CHAR(13)," ")))-FIND(" MT"," "&amp;SUBSTITUTE(SUBSTITUTE(A193,CHAR(10)," "),CHAR(13)," "))),"MT no encontrado"))</f>
        <v/>
      </c>
      <c r="C193" s="15" t="str">
        <f aca="false">IF(TRIM(A193)="","",IF(D193="",FALSE(),SUBSTITUTE(SUBSTITUTE(SUBSTITUTE(D193,".",""),"0",""),"-","")&lt;&gt;""))</f>
        <v/>
      </c>
      <c r="D193" s="14" t="str">
        <f aca="false">IF(TRIM(A193)="","",IFERROR(MID((" "&amp;LEFT(SUBSTITUTE(A193,CHAR(13),""),FIND(CHAR(10),SUBSTITUTE(A193,CHAR(13),"")&amp;CHAR(10))-1)),(FIND("~",SUBSTITUTE(LEFT((" "&amp;LEFT(SUBSTITUTE(A193,CHAR(13),""),FIND(CHAR(10),SUBSTITUTE(A193,CHAR(13),"")&amp;CHAR(10))-1)),FIND(".",(" "&amp;LEFT(SUBSTITUTE(A193,CHAR(13),""),FIND(CHAR(10),SUBSTITUTE(A193,CHAR(13),"")&amp;CHAR(10))-1))))," ","~",LEN(LEFT((" "&amp;LEFT(SUBSTITUTE(A193,CHAR(13),""),FIND(CHAR(10),SUBSTITUTE(A193,CHAR(13),"")&amp;CHAR(10))-1)),FIND(".",(" "&amp;LEFT(SUBSTITUTE(A193,CHAR(13),""),FIND(CHAR(10),SUBSTITUTE(A193,CHAR(13),"")&amp;CHAR(10))-1)))))-LEN(SUBSTITUTE(LEFT((" "&amp;LEFT(SUBSTITUTE(A193,CHAR(13),""),FIND(CHAR(10),SUBSTITUTE(A193,CHAR(13),"")&amp;CHAR(10))-1)),FIND(".",(" "&amp;LEFT(SUBSTITUTE(A193,CHAR(13),""),FIND(CHAR(10),SUBSTITUTE(A193,CHAR(13),"")&amp;CHAR(10))-1))))," ",""))))+1),FIND(" ",(" "&amp;LEFT(SUBSTITUTE(A193,CHAR(13),""),FIND(CHAR(10),SUBSTITUTE(A193,CHAR(13),"")&amp;CHAR(10))-1))&amp;" ",FIND(".",(" "&amp;LEFT(SUBSTITUTE(A193,CHAR(13),""),FIND(CHAR(10),SUBSTITUTE(A193,CHAR(13),"")&amp;CHAR(10))-1))))-(FIND("~",SUBSTITUTE(LEFT((" "&amp;LEFT(SUBSTITUTE(A193,CHAR(13),""),FIND(CHAR(10),SUBSTITUTE(A193,CHAR(13),"")&amp;CHAR(10))-1)),FIND(".",(" "&amp;LEFT(SUBSTITUTE(A193,CHAR(13),""),FIND(CHAR(10),SUBSTITUTE(A193,CHAR(13),"")&amp;CHAR(10))-1))))," ","~",LEN(LEFT((" "&amp;LEFT(SUBSTITUTE(A193,CHAR(13),""),FIND(CHAR(10),SUBSTITUTE(A193,CHAR(13),"")&amp;CHAR(10))-1)),FIND(".",(" "&amp;LEFT(SUBSTITUTE(A193,CHAR(13),""),FIND(CHAR(10),SUBSTITUTE(A193,CHAR(13),"")&amp;CHAR(10))-1)))))-LEN(SUBSTITUTE(LEFT((" "&amp;LEFT(SUBSTITUTE(A193,CHAR(13),""),FIND(CHAR(10),SUBSTITUTE(A193,CHAR(13),"")&amp;CHAR(10))-1)),FIND(".",(" "&amp;LEFT(SUBSTITUTE(A193,CHAR(13),""),FIND(CHAR(10),SUBSTITUTE(A193,CHAR(13),"")&amp;CHAR(10))-1))))," ",""))))+1)),""))</f>
        <v/>
      </c>
    </row>
    <row r="194" customFormat="false" ht="30" hidden="false" customHeight="true" outlineLevel="0" collapsed="false">
      <c r="A194" s="11" t="str">
        <f aca="false">IFERROR(INDEX(Pegar!$A$3:$A$1002,MATCH(190,Pegar!$B$3:$B$1002,0))&amp;IF(LEFT(INDEX(Pegar!$A$3:$A$1003,MATCH(190,Pegar!$B$3:$B$1002,0)+1),5)="DESC=",CHAR(10)&amp;INDEX(Pegar!$A$3:$A$1003,MATCH(190,Pegar!$B$3:$B$1002,0)+1),""),"")</f>
        <v/>
      </c>
      <c r="B194" s="12" t="str">
        <f aca="false">IF(TRIM(A194)="","",IFERROR(MID(SUBSTITUTE(SUBSTITUTE(A194,CHAR(10)," "),CHAR(13)," "),FIND(" MT"," "&amp;SUBSTITUTE(SUBSTITUTE(A194,CHAR(10)," "),CHAR(13)," ")),FIND(" ",SUBSTITUTE(SUBSTITUTE(A194,CHAR(10)," "),CHAR(13)," ")&amp;" ",FIND(" MT"," "&amp;SUBSTITUTE(SUBSTITUTE(A194,CHAR(10)," "),CHAR(13)," ")))-FIND(" MT"," "&amp;SUBSTITUTE(SUBSTITUTE(A194,CHAR(10)," "),CHAR(13)," "))),"MT no encontrado"))</f>
        <v/>
      </c>
      <c r="C194" s="15" t="str">
        <f aca="false">IF(TRIM(A194)="","",IF(D194="",FALSE(),SUBSTITUTE(SUBSTITUTE(SUBSTITUTE(D194,".",""),"0",""),"-","")&lt;&gt;""))</f>
        <v/>
      </c>
      <c r="D194" s="14" t="str">
        <f aca="false">IF(TRIM(A194)="","",IFERROR(MID((" "&amp;LEFT(SUBSTITUTE(A194,CHAR(13),""),FIND(CHAR(10),SUBSTITUTE(A194,CHAR(13),"")&amp;CHAR(10))-1)),(FIND("~",SUBSTITUTE(LEFT((" "&amp;LEFT(SUBSTITUTE(A194,CHAR(13),""),FIND(CHAR(10),SUBSTITUTE(A194,CHAR(13),"")&amp;CHAR(10))-1)),FIND(".",(" "&amp;LEFT(SUBSTITUTE(A194,CHAR(13),""),FIND(CHAR(10),SUBSTITUTE(A194,CHAR(13),"")&amp;CHAR(10))-1))))," ","~",LEN(LEFT((" "&amp;LEFT(SUBSTITUTE(A194,CHAR(13),""),FIND(CHAR(10),SUBSTITUTE(A194,CHAR(13),"")&amp;CHAR(10))-1)),FIND(".",(" "&amp;LEFT(SUBSTITUTE(A194,CHAR(13),""),FIND(CHAR(10),SUBSTITUTE(A194,CHAR(13),"")&amp;CHAR(10))-1)))))-LEN(SUBSTITUTE(LEFT((" "&amp;LEFT(SUBSTITUTE(A194,CHAR(13),""),FIND(CHAR(10),SUBSTITUTE(A194,CHAR(13),"")&amp;CHAR(10))-1)),FIND(".",(" "&amp;LEFT(SUBSTITUTE(A194,CHAR(13),""),FIND(CHAR(10),SUBSTITUTE(A194,CHAR(13),"")&amp;CHAR(10))-1))))," ",""))))+1),FIND(" ",(" "&amp;LEFT(SUBSTITUTE(A194,CHAR(13),""),FIND(CHAR(10),SUBSTITUTE(A194,CHAR(13),"")&amp;CHAR(10))-1))&amp;" ",FIND(".",(" "&amp;LEFT(SUBSTITUTE(A194,CHAR(13),""),FIND(CHAR(10),SUBSTITUTE(A194,CHAR(13),"")&amp;CHAR(10))-1))))-(FIND("~",SUBSTITUTE(LEFT((" "&amp;LEFT(SUBSTITUTE(A194,CHAR(13),""),FIND(CHAR(10),SUBSTITUTE(A194,CHAR(13),"")&amp;CHAR(10))-1)),FIND(".",(" "&amp;LEFT(SUBSTITUTE(A194,CHAR(13),""),FIND(CHAR(10),SUBSTITUTE(A194,CHAR(13),"")&amp;CHAR(10))-1))))," ","~",LEN(LEFT((" "&amp;LEFT(SUBSTITUTE(A194,CHAR(13),""),FIND(CHAR(10),SUBSTITUTE(A194,CHAR(13),"")&amp;CHAR(10))-1)),FIND(".",(" "&amp;LEFT(SUBSTITUTE(A194,CHAR(13),""),FIND(CHAR(10),SUBSTITUTE(A194,CHAR(13),"")&amp;CHAR(10))-1)))))-LEN(SUBSTITUTE(LEFT((" "&amp;LEFT(SUBSTITUTE(A194,CHAR(13),""),FIND(CHAR(10),SUBSTITUTE(A194,CHAR(13),"")&amp;CHAR(10))-1)),FIND(".",(" "&amp;LEFT(SUBSTITUTE(A194,CHAR(13),""),FIND(CHAR(10),SUBSTITUTE(A194,CHAR(13),"")&amp;CHAR(10))-1))))," ",""))))+1)),""))</f>
        <v/>
      </c>
    </row>
    <row r="195" customFormat="false" ht="30" hidden="false" customHeight="true" outlineLevel="0" collapsed="false">
      <c r="A195" s="11" t="str">
        <f aca="false">IFERROR(INDEX(Pegar!$A$3:$A$1002,MATCH(191,Pegar!$B$3:$B$1002,0))&amp;IF(LEFT(INDEX(Pegar!$A$3:$A$1003,MATCH(191,Pegar!$B$3:$B$1002,0)+1),5)="DESC=",CHAR(10)&amp;INDEX(Pegar!$A$3:$A$1003,MATCH(191,Pegar!$B$3:$B$1002,0)+1),""),"")</f>
        <v/>
      </c>
      <c r="B195" s="12" t="str">
        <f aca="false">IF(TRIM(A195)="","",IFERROR(MID(SUBSTITUTE(SUBSTITUTE(A195,CHAR(10)," "),CHAR(13)," "),FIND(" MT"," "&amp;SUBSTITUTE(SUBSTITUTE(A195,CHAR(10)," "),CHAR(13)," ")),FIND(" ",SUBSTITUTE(SUBSTITUTE(A195,CHAR(10)," "),CHAR(13)," ")&amp;" ",FIND(" MT"," "&amp;SUBSTITUTE(SUBSTITUTE(A195,CHAR(10)," "),CHAR(13)," ")))-FIND(" MT"," "&amp;SUBSTITUTE(SUBSTITUTE(A195,CHAR(10)," "),CHAR(13)," "))),"MT no encontrado"))</f>
        <v/>
      </c>
      <c r="C195" s="15" t="str">
        <f aca="false">IF(TRIM(A195)="","",IF(D195="",FALSE(),SUBSTITUTE(SUBSTITUTE(SUBSTITUTE(D195,".",""),"0",""),"-","")&lt;&gt;""))</f>
        <v/>
      </c>
      <c r="D195" s="14" t="str">
        <f aca="false">IF(TRIM(A195)="","",IFERROR(MID((" "&amp;LEFT(SUBSTITUTE(A195,CHAR(13),""),FIND(CHAR(10),SUBSTITUTE(A195,CHAR(13),"")&amp;CHAR(10))-1)),(FIND("~",SUBSTITUTE(LEFT((" "&amp;LEFT(SUBSTITUTE(A195,CHAR(13),""),FIND(CHAR(10),SUBSTITUTE(A195,CHAR(13),"")&amp;CHAR(10))-1)),FIND(".",(" "&amp;LEFT(SUBSTITUTE(A195,CHAR(13),""),FIND(CHAR(10),SUBSTITUTE(A195,CHAR(13),"")&amp;CHAR(10))-1))))," ","~",LEN(LEFT((" "&amp;LEFT(SUBSTITUTE(A195,CHAR(13),""),FIND(CHAR(10),SUBSTITUTE(A195,CHAR(13),"")&amp;CHAR(10))-1)),FIND(".",(" "&amp;LEFT(SUBSTITUTE(A195,CHAR(13),""),FIND(CHAR(10),SUBSTITUTE(A195,CHAR(13),"")&amp;CHAR(10))-1)))))-LEN(SUBSTITUTE(LEFT((" "&amp;LEFT(SUBSTITUTE(A195,CHAR(13),""),FIND(CHAR(10),SUBSTITUTE(A195,CHAR(13),"")&amp;CHAR(10))-1)),FIND(".",(" "&amp;LEFT(SUBSTITUTE(A195,CHAR(13),""),FIND(CHAR(10),SUBSTITUTE(A195,CHAR(13),"")&amp;CHAR(10))-1))))," ",""))))+1),FIND(" ",(" "&amp;LEFT(SUBSTITUTE(A195,CHAR(13),""),FIND(CHAR(10),SUBSTITUTE(A195,CHAR(13),"")&amp;CHAR(10))-1))&amp;" ",FIND(".",(" "&amp;LEFT(SUBSTITUTE(A195,CHAR(13),""),FIND(CHAR(10),SUBSTITUTE(A195,CHAR(13),"")&amp;CHAR(10))-1))))-(FIND("~",SUBSTITUTE(LEFT((" "&amp;LEFT(SUBSTITUTE(A195,CHAR(13),""),FIND(CHAR(10),SUBSTITUTE(A195,CHAR(13),"")&amp;CHAR(10))-1)),FIND(".",(" "&amp;LEFT(SUBSTITUTE(A195,CHAR(13),""),FIND(CHAR(10),SUBSTITUTE(A195,CHAR(13),"")&amp;CHAR(10))-1))))," ","~",LEN(LEFT((" "&amp;LEFT(SUBSTITUTE(A195,CHAR(13),""),FIND(CHAR(10),SUBSTITUTE(A195,CHAR(13),"")&amp;CHAR(10))-1)),FIND(".",(" "&amp;LEFT(SUBSTITUTE(A195,CHAR(13),""),FIND(CHAR(10),SUBSTITUTE(A195,CHAR(13),"")&amp;CHAR(10))-1)))))-LEN(SUBSTITUTE(LEFT((" "&amp;LEFT(SUBSTITUTE(A195,CHAR(13),""),FIND(CHAR(10),SUBSTITUTE(A195,CHAR(13),"")&amp;CHAR(10))-1)),FIND(".",(" "&amp;LEFT(SUBSTITUTE(A195,CHAR(13),""),FIND(CHAR(10),SUBSTITUTE(A195,CHAR(13),"")&amp;CHAR(10))-1))))," ",""))))+1)),""))</f>
        <v/>
      </c>
    </row>
    <row r="196" customFormat="false" ht="30" hidden="false" customHeight="true" outlineLevel="0" collapsed="false">
      <c r="A196" s="11" t="str">
        <f aca="false">IFERROR(INDEX(Pegar!$A$3:$A$1002,MATCH(192,Pegar!$B$3:$B$1002,0))&amp;IF(LEFT(INDEX(Pegar!$A$3:$A$1003,MATCH(192,Pegar!$B$3:$B$1002,0)+1),5)="DESC=",CHAR(10)&amp;INDEX(Pegar!$A$3:$A$1003,MATCH(192,Pegar!$B$3:$B$1002,0)+1),""),"")</f>
        <v/>
      </c>
      <c r="B196" s="12" t="str">
        <f aca="false">IF(TRIM(A196)="","",IFERROR(MID(SUBSTITUTE(SUBSTITUTE(A196,CHAR(10)," "),CHAR(13)," "),FIND(" MT"," "&amp;SUBSTITUTE(SUBSTITUTE(A196,CHAR(10)," "),CHAR(13)," ")),FIND(" ",SUBSTITUTE(SUBSTITUTE(A196,CHAR(10)," "),CHAR(13)," ")&amp;" ",FIND(" MT"," "&amp;SUBSTITUTE(SUBSTITUTE(A196,CHAR(10)," "),CHAR(13)," ")))-FIND(" MT"," "&amp;SUBSTITUTE(SUBSTITUTE(A196,CHAR(10)," "),CHAR(13)," "))),"MT no encontrado"))</f>
        <v/>
      </c>
      <c r="C196" s="15" t="str">
        <f aca="false">IF(TRIM(A196)="","",IF(D196="",FALSE(),SUBSTITUTE(SUBSTITUTE(SUBSTITUTE(D196,".",""),"0",""),"-","")&lt;&gt;""))</f>
        <v/>
      </c>
      <c r="D196" s="14" t="str">
        <f aca="false">IF(TRIM(A196)="","",IFERROR(MID((" "&amp;LEFT(SUBSTITUTE(A196,CHAR(13),""),FIND(CHAR(10),SUBSTITUTE(A196,CHAR(13),"")&amp;CHAR(10))-1)),(FIND("~",SUBSTITUTE(LEFT((" "&amp;LEFT(SUBSTITUTE(A196,CHAR(13),""),FIND(CHAR(10),SUBSTITUTE(A196,CHAR(13),"")&amp;CHAR(10))-1)),FIND(".",(" "&amp;LEFT(SUBSTITUTE(A196,CHAR(13),""),FIND(CHAR(10),SUBSTITUTE(A196,CHAR(13),"")&amp;CHAR(10))-1))))," ","~",LEN(LEFT((" "&amp;LEFT(SUBSTITUTE(A196,CHAR(13),""),FIND(CHAR(10),SUBSTITUTE(A196,CHAR(13),"")&amp;CHAR(10))-1)),FIND(".",(" "&amp;LEFT(SUBSTITUTE(A196,CHAR(13),""),FIND(CHAR(10),SUBSTITUTE(A196,CHAR(13),"")&amp;CHAR(10))-1)))))-LEN(SUBSTITUTE(LEFT((" "&amp;LEFT(SUBSTITUTE(A196,CHAR(13),""),FIND(CHAR(10),SUBSTITUTE(A196,CHAR(13),"")&amp;CHAR(10))-1)),FIND(".",(" "&amp;LEFT(SUBSTITUTE(A196,CHAR(13),""),FIND(CHAR(10),SUBSTITUTE(A196,CHAR(13),"")&amp;CHAR(10))-1))))," ",""))))+1),FIND(" ",(" "&amp;LEFT(SUBSTITUTE(A196,CHAR(13),""),FIND(CHAR(10),SUBSTITUTE(A196,CHAR(13),"")&amp;CHAR(10))-1))&amp;" ",FIND(".",(" "&amp;LEFT(SUBSTITUTE(A196,CHAR(13),""),FIND(CHAR(10),SUBSTITUTE(A196,CHAR(13),"")&amp;CHAR(10))-1))))-(FIND("~",SUBSTITUTE(LEFT((" "&amp;LEFT(SUBSTITUTE(A196,CHAR(13),""),FIND(CHAR(10),SUBSTITUTE(A196,CHAR(13),"")&amp;CHAR(10))-1)),FIND(".",(" "&amp;LEFT(SUBSTITUTE(A196,CHAR(13),""),FIND(CHAR(10),SUBSTITUTE(A196,CHAR(13),"")&amp;CHAR(10))-1))))," ","~",LEN(LEFT((" "&amp;LEFT(SUBSTITUTE(A196,CHAR(13),""),FIND(CHAR(10),SUBSTITUTE(A196,CHAR(13),"")&amp;CHAR(10))-1)),FIND(".",(" "&amp;LEFT(SUBSTITUTE(A196,CHAR(13),""),FIND(CHAR(10),SUBSTITUTE(A196,CHAR(13),"")&amp;CHAR(10))-1)))))-LEN(SUBSTITUTE(LEFT((" "&amp;LEFT(SUBSTITUTE(A196,CHAR(13),""),FIND(CHAR(10),SUBSTITUTE(A196,CHAR(13),"")&amp;CHAR(10))-1)),FIND(".",(" "&amp;LEFT(SUBSTITUTE(A196,CHAR(13),""),FIND(CHAR(10),SUBSTITUTE(A196,CHAR(13),"")&amp;CHAR(10))-1))))," ",""))))+1)),""))</f>
        <v/>
      </c>
    </row>
    <row r="197" customFormat="false" ht="30" hidden="false" customHeight="true" outlineLevel="0" collapsed="false">
      <c r="A197" s="11" t="str">
        <f aca="false">IFERROR(INDEX(Pegar!$A$3:$A$1002,MATCH(193,Pegar!$B$3:$B$1002,0))&amp;IF(LEFT(INDEX(Pegar!$A$3:$A$1003,MATCH(193,Pegar!$B$3:$B$1002,0)+1),5)="DESC=",CHAR(10)&amp;INDEX(Pegar!$A$3:$A$1003,MATCH(193,Pegar!$B$3:$B$1002,0)+1),""),"")</f>
        <v/>
      </c>
      <c r="B197" s="12" t="str">
        <f aca="false">IF(TRIM(A197)="","",IFERROR(MID(SUBSTITUTE(SUBSTITUTE(A197,CHAR(10)," "),CHAR(13)," "),FIND(" MT"," "&amp;SUBSTITUTE(SUBSTITUTE(A197,CHAR(10)," "),CHAR(13)," ")),FIND(" ",SUBSTITUTE(SUBSTITUTE(A197,CHAR(10)," "),CHAR(13)," ")&amp;" ",FIND(" MT"," "&amp;SUBSTITUTE(SUBSTITUTE(A197,CHAR(10)," "),CHAR(13)," ")))-FIND(" MT"," "&amp;SUBSTITUTE(SUBSTITUTE(A197,CHAR(10)," "),CHAR(13)," "))),"MT no encontrado"))</f>
        <v/>
      </c>
      <c r="C197" s="15" t="str">
        <f aca="false">IF(TRIM(A197)="","",IF(D197="",FALSE(),SUBSTITUTE(SUBSTITUTE(SUBSTITUTE(D197,".",""),"0",""),"-","")&lt;&gt;""))</f>
        <v/>
      </c>
      <c r="D197" s="14" t="str">
        <f aca="false">IF(TRIM(A197)="","",IFERROR(MID((" "&amp;LEFT(SUBSTITUTE(A197,CHAR(13),""),FIND(CHAR(10),SUBSTITUTE(A197,CHAR(13),"")&amp;CHAR(10))-1)),(FIND("~",SUBSTITUTE(LEFT((" "&amp;LEFT(SUBSTITUTE(A197,CHAR(13),""),FIND(CHAR(10),SUBSTITUTE(A197,CHAR(13),"")&amp;CHAR(10))-1)),FIND(".",(" "&amp;LEFT(SUBSTITUTE(A197,CHAR(13),""),FIND(CHAR(10),SUBSTITUTE(A197,CHAR(13),"")&amp;CHAR(10))-1))))," ","~",LEN(LEFT((" "&amp;LEFT(SUBSTITUTE(A197,CHAR(13),""),FIND(CHAR(10),SUBSTITUTE(A197,CHAR(13),"")&amp;CHAR(10))-1)),FIND(".",(" "&amp;LEFT(SUBSTITUTE(A197,CHAR(13),""),FIND(CHAR(10),SUBSTITUTE(A197,CHAR(13),"")&amp;CHAR(10))-1)))))-LEN(SUBSTITUTE(LEFT((" "&amp;LEFT(SUBSTITUTE(A197,CHAR(13),""),FIND(CHAR(10),SUBSTITUTE(A197,CHAR(13),"")&amp;CHAR(10))-1)),FIND(".",(" "&amp;LEFT(SUBSTITUTE(A197,CHAR(13),""),FIND(CHAR(10),SUBSTITUTE(A197,CHAR(13),"")&amp;CHAR(10))-1))))," ",""))))+1),FIND(" ",(" "&amp;LEFT(SUBSTITUTE(A197,CHAR(13),""),FIND(CHAR(10),SUBSTITUTE(A197,CHAR(13),"")&amp;CHAR(10))-1))&amp;" ",FIND(".",(" "&amp;LEFT(SUBSTITUTE(A197,CHAR(13),""),FIND(CHAR(10),SUBSTITUTE(A197,CHAR(13),"")&amp;CHAR(10))-1))))-(FIND("~",SUBSTITUTE(LEFT((" "&amp;LEFT(SUBSTITUTE(A197,CHAR(13),""),FIND(CHAR(10),SUBSTITUTE(A197,CHAR(13),"")&amp;CHAR(10))-1)),FIND(".",(" "&amp;LEFT(SUBSTITUTE(A197,CHAR(13),""),FIND(CHAR(10),SUBSTITUTE(A197,CHAR(13),"")&amp;CHAR(10))-1))))," ","~",LEN(LEFT((" "&amp;LEFT(SUBSTITUTE(A197,CHAR(13),""),FIND(CHAR(10),SUBSTITUTE(A197,CHAR(13),"")&amp;CHAR(10))-1)),FIND(".",(" "&amp;LEFT(SUBSTITUTE(A197,CHAR(13),""),FIND(CHAR(10),SUBSTITUTE(A197,CHAR(13),"")&amp;CHAR(10))-1)))))-LEN(SUBSTITUTE(LEFT((" "&amp;LEFT(SUBSTITUTE(A197,CHAR(13),""),FIND(CHAR(10),SUBSTITUTE(A197,CHAR(13),"")&amp;CHAR(10))-1)),FIND(".",(" "&amp;LEFT(SUBSTITUTE(A197,CHAR(13),""),FIND(CHAR(10),SUBSTITUTE(A197,CHAR(13),"")&amp;CHAR(10))-1))))," ",""))))+1)),""))</f>
        <v/>
      </c>
    </row>
    <row r="198" customFormat="false" ht="30" hidden="false" customHeight="true" outlineLevel="0" collapsed="false">
      <c r="A198" s="11" t="str">
        <f aca="false">IFERROR(INDEX(Pegar!$A$3:$A$1002,MATCH(194,Pegar!$B$3:$B$1002,0))&amp;IF(LEFT(INDEX(Pegar!$A$3:$A$1003,MATCH(194,Pegar!$B$3:$B$1002,0)+1),5)="DESC=",CHAR(10)&amp;INDEX(Pegar!$A$3:$A$1003,MATCH(194,Pegar!$B$3:$B$1002,0)+1),""),"")</f>
        <v/>
      </c>
      <c r="B198" s="12" t="str">
        <f aca="false">IF(TRIM(A198)="","",IFERROR(MID(SUBSTITUTE(SUBSTITUTE(A198,CHAR(10)," "),CHAR(13)," "),FIND(" MT"," "&amp;SUBSTITUTE(SUBSTITUTE(A198,CHAR(10)," "),CHAR(13)," ")),FIND(" ",SUBSTITUTE(SUBSTITUTE(A198,CHAR(10)," "),CHAR(13)," ")&amp;" ",FIND(" MT"," "&amp;SUBSTITUTE(SUBSTITUTE(A198,CHAR(10)," "),CHAR(13)," ")))-FIND(" MT"," "&amp;SUBSTITUTE(SUBSTITUTE(A198,CHAR(10)," "),CHAR(13)," "))),"MT no encontrado"))</f>
        <v/>
      </c>
      <c r="C198" s="15" t="str">
        <f aca="false">IF(TRIM(A198)="","",IF(D198="",FALSE(),SUBSTITUTE(SUBSTITUTE(SUBSTITUTE(D198,".",""),"0",""),"-","")&lt;&gt;""))</f>
        <v/>
      </c>
      <c r="D198" s="14" t="str">
        <f aca="false">IF(TRIM(A198)="","",IFERROR(MID((" "&amp;LEFT(SUBSTITUTE(A198,CHAR(13),""),FIND(CHAR(10),SUBSTITUTE(A198,CHAR(13),"")&amp;CHAR(10))-1)),(FIND("~",SUBSTITUTE(LEFT((" "&amp;LEFT(SUBSTITUTE(A198,CHAR(13),""),FIND(CHAR(10),SUBSTITUTE(A198,CHAR(13),"")&amp;CHAR(10))-1)),FIND(".",(" "&amp;LEFT(SUBSTITUTE(A198,CHAR(13),""),FIND(CHAR(10),SUBSTITUTE(A198,CHAR(13),"")&amp;CHAR(10))-1))))," ","~",LEN(LEFT((" "&amp;LEFT(SUBSTITUTE(A198,CHAR(13),""),FIND(CHAR(10),SUBSTITUTE(A198,CHAR(13),"")&amp;CHAR(10))-1)),FIND(".",(" "&amp;LEFT(SUBSTITUTE(A198,CHAR(13),""),FIND(CHAR(10),SUBSTITUTE(A198,CHAR(13),"")&amp;CHAR(10))-1)))))-LEN(SUBSTITUTE(LEFT((" "&amp;LEFT(SUBSTITUTE(A198,CHAR(13),""),FIND(CHAR(10),SUBSTITUTE(A198,CHAR(13),"")&amp;CHAR(10))-1)),FIND(".",(" "&amp;LEFT(SUBSTITUTE(A198,CHAR(13),""),FIND(CHAR(10),SUBSTITUTE(A198,CHAR(13),"")&amp;CHAR(10))-1))))," ",""))))+1),FIND(" ",(" "&amp;LEFT(SUBSTITUTE(A198,CHAR(13),""),FIND(CHAR(10),SUBSTITUTE(A198,CHAR(13),"")&amp;CHAR(10))-1))&amp;" ",FIND(".",(" "&amp;LEFT(SUBSTITUTE(A198,CHAR(13),""),FIND(CHAR(10),SUBSTITUTE(A198,CHAR(13),"")&amp;CHAR(10))-1))))-(FIND("~",SUBSTITUTE(LEFT((" "&amp;LEFT(SUBSTITUTE(A198,CHAR(13),""),FIND(CHAR(10),SUBSTITUTE(A198,CHAR(13),"")&amp;CHAR(10))-1)),FIND(".",(" "&amp;LEFT(SUBSTITUTE(A198,CHAR(13),""),FIND(CHAR(10),SUBSTITUTE(A198,CHAR(13),"")&amp;CHAR(10))-1))))," ","~",LEN(LEFT((" "&amp;LEFT(SUBSTITUTE(A198,CHAR(13),""),FIND(CHAR(10),SUBSTITUTE(A198,CHAR(13),"")&amp;CHAR(10))-1)),FIND(".",(" "&amp;LEFT(SUBSTITUTE(A198,CHAR(13),""),FIND(CHAR(10),SUBSTITUTE(A198,CHAR(13),"")&amp;CHAR(10))-1)))))-LEN(SUBSTITUTE(LEFT((" "&amp;LEFT(SUBSTITUTE(A198,CHAR(13),""),FIND(CHAR(10),SUBSTITUTE(A198,CHAR(13),"")&amp;CHAR(10))-1)),FIND(".",(" "&amp;LEFT(SUBSTITUTE(A198,CHAR(13),""),FIND(CHAR(10),SUBSTITUTE(A198,CHAR(13),"")&amp;CHAR(10))-1))))," ",""))))+1)),""))</f>
        <v/>
      </c>
    </row>
    <row r="199" customFormat="false" ht="30" hidden="false" customHeight="true" outlineLevel="0" collapsed="false">
      <c r="A199" s="11" t="str">
        <f aca="false">IFERROR(INDEX(Pegar!$A$3:$A$1002,MATCH(195,Pegar!$B$3:$B$1002,0))&amp;IF(LEFT(INDEX(Pegar!$A$3:$A$1003,MATCH(195,Pegar!$B$3:$B$1002,0)+1),5)="DESC=",CHAR(10)&amp;INDEX(Pegar!$A$3:$A$1003,MATCH(195,Pegar!$B$3:$B$1002,0)+1),""),"")</f>
        <v/>
      </c>
      <c r="B199" s="12" t="str">
        <f aca="false">IF(TRIM(A199)="","",IFERROR(MID(SUBSTITUTE(SUBSTITUTE(A199,CHAR(10)," "),CHAR(13)," "),FIND(" MT"," "&amp;SUBSTITUTE(SUBSTITUTE(A199,CHAR(10)," "),CHAR(13)," ")),FIND(" ",SUBSTITUTE(SUBSTITUTE(A199,CHAR(10)," "),CHAR(13)," ")&amp;" ",FIND(" MT"," "&amp;SUBSTITUTE(SUBSTITUTE(A199,CHAR(10)," "),CHAR(13)," ")))-FIND(" MT"," "&amp;SUBSTITUTE(SUBSTITUTE(A199,CHAR(10)," "),CHAR(13)," "))),"MT no encontrado"))</f>
        <v/>
      </c>
      <c r="C199" s="15" t="str">
        <f aca="false">IF(TRIM(A199)="","",IF(D199="",FALSE(),SUBSTITUTE(SUBSTITUTE(SUBSTITUTE(D199,".",""),"0",""),"-","")&lt;&gt;""))</f>
        <v/>
      </c>
      <c r="D199" s="14" t="str">
        <f aca="false">IF(TRIM(A199)="","",IFERROR(MID((" "&amp;LEFT(SUBSTITUTE(A199,CHAR(13),""),FIND(CHAR(10),SUBSTITUTE(A199,CHAR(13),"")&amp;CHAR(10))-1)),(FIND("~",SUBSTITUTE(LEFT((" "&amp;LEFT(SUBSTITUTE(A199,CHAR(13),""),FIND(CHAR(10),SUBSTITUTE(A199,CHAR(13),"")&amp;CHAR(10))-1)),FIND(".",(" "&amp;LEFT(SUBSTITUTE(A199,CHAR(13),""),FIND(CHAR(10),SUBSTITUTE(A199,CHAR(13),"")&amp;CHAR(10))-1))))," ","~",LEN(LEFT((" "&amp;LEFT(SUBSTITUTE(A199,CHAR(13),""),FIND(CHAR(10),SUBSTITUTE(A199,CHAR(13),"")&amp;CHAR(10))-1)),FIND(".",(" "&amp;LEFT(SUBSTITUTE(A199,CHAR(13),""),FIND(CHAR(10),SUBSTITUTE(A199,CHAR(13),"")&amp;CHAR(10))-1)))))-LEN(SUBSTITUTE(LEFT((" "&amp;LEFT(SUBSTITUTE(A199,CHAR(13),""),FIND(CHAR(10),SUBSTITUTE(A199,CHAR(13),"")&amp;CHAR(10))-1)),FIND(".",(" "&amp;LEFT(SUBSTITUTE(A199,CHAR(13),""),FIND(CHAR(10),SUBSTITUTE(A199,CHAR(13),"")&amp;CHAR(10))-1))))," ",""))))+1),FIND(" ",(" "&amp;LEFT(SUBSTITUTE(A199,CHAR(13),""),FIND(CHAR(10),SUBSTITUTE(A199,CHAR(13),"")&amp;CHAR(10))-1))&amp;" ",FIND(".",(" "&amp;LEFT(SUBSTITUTE(A199,CHAR(13),""),FIND(CHAR(10),SUBSTITUTE(A199,CHAR(13),"")&amp;CHAR(10))-1))))-(FIND("~",SUBSTITUTE(LEFT((" "&amp;LEFT(SUBSTITUTE(A199,CHAR(13),""),FIND(CHAR(10),SUBSTITUTE(A199,CHAR(13),"")&amp;CHAR(10))-1)),FIND(".",(" "&amp;LEFT(SUBSTITUTE(A199,CHAR(13),""),FIND(CHAR(10),SUBSTITUTE(A199,CHAR(13),"")&amp;CHAR(10))-1))))," ","~",LEN(LEFT((" "&amp;LEFT(SUBSTITUTE(A199,CHAR(13),""),FIND(CHAR(10),SUBSTITUTE(A199,CHAR(13),"")&amp;CHAR(10))-1)),FIND(".",(" "&amp;LEFT(SUBSTITUTE(A199,CHAR(13),""),FIND(CHAR(10),SUBSTITUTE(A199,CHAR(13),"")&amp;CHAR(10))-1)))))-LEN(SUBSTITUTE(LEFT((" "&amp;LEFT(SUBSTITUTE(A199,CHAR(13),""),FIND(CHAR(10),SUBSTITUTE(A199,CHAR(13),"")&amp;CHAR(10))-1)),FIND(".",(" "&amp;LEFT(SUBSTITUTE(A199,CHAR(13),""),FIND(CHAR(10),SUBSTITUTE(A199,CHAR(13),"")&amp;CHAR(10))-1))))," ",""))))+1)),""))</f>
        <v/>
      </c>
    </row>
    <row r="200" customFormat="false" ht="30" hidden="false" customHeight="true" outlineLevel="0" collapsed="false">
      <c r="A200" s="11" t="str">
        <f aca="false">IFERROR(INDEX(Pegar!$A$3:$A$1002,MATCH(196,Pegar!$B$3:$B$1002,0))&amp;IF(LEFT(INDEX(Pegar!$A$3:$A$1003,MATCH(196,Pegar!$B$3:$B$1002,0)+1),5)="DESC=",CHAR(10)&amp;INDEX(Pegar!$A$3:$A$1003,MATCH(196,Pegar!$B$3:$B$1002,0)+1),""),"")</f>
        <v/>
      </c>
      <c r="B200" s="12" t="str">
        <f aca="false">IF(TRIM(A200)="","",IFERROR(MID(SUBSTITUTE(SUBSTITUTE(A200,CHAR(10)," "),CHAR(13)," "),FIND(" MT"," "&amp;SUBSTITUTE(SUBSTITUTE(A200,CHAR(10)," "),CHAR(13)," ")),FIND(" ",SUBSTITUTE(SUBSTITUTE(A200,CHAR(10)," "),CHAR(13)," ")&amp;" ",FIND(" MT"," "&amp;SUBSTITUTE(SUBSTITUTE(A200,CHAR(10)," "),CHAR(13)," ")))-FIND(" MT"," "&amp;SUBSTITUTE(SUBSTITUTE(A200,CHAR(10)," "),CHAR(13)," "))),"MT no encontrado"))</f>
        <v/>
      </c>
      <c r="C200" s="15" t="str">
        <f aca="false">IF(TRIM(A200)="","",IF(D200="",FALSE(),SUBSTITUTE(SUBSTITUTE(SUBSTITUTE(D200,".",""),"0",""),"-","")&lt;&gt;""))</f>
        <v/>
      </c>
      <c r="D200" s="14" t="str">
        <f aca="false">IF(TRIM(A200)="","",IFERROR(MID((" "&amp;LEFT(SUBSTITUTE(A200,CHAR(13),""),FIND(CHAR(10),SUBSTITUTE(A200,CHAR(13),"")&amp;CHAR(10))-1)),(FIND("~",SUBSTITUTE(LEFT((" "&amp;LEFT(SUBSTITUTE(A200,CHAR(13),""),FIND(CHAR(10),SUBSTITUTE(A200,CHAR(13),"")&amp;CHAR(10))-1)),FIND(".",(" "&amp;LEFT(SUBSTITUTE(A200,CHAR(13),""),FIND(CHAR(10),SUBSTITUTE(A200,CHAR(13),"")&amp;CHAR(10))-1))))," ","~",LEN(LEFT((" "&amp;LEFT(SUBSTITUTE(A200,CHAR(13),""),FIND(CHAR(10),SUBSTITUTE(A200,CHAR(13),"")&amp;CHAR(10))-1)),FIND(".",(" "&amp;LEFT(SUBSTITUTE(A200,CHAR(13),""),FIND(CHAR(10),SUBSTITUTE(A200,CHAR(13),"")&amp;CHAR(10))-1)))))-LEN(SUBSTITUTE(LEFT((" "&amp;LEFT(SUBSTITUTE(A200,CHAR(13),""),FIND(CHAR(10),SUBSTITUTE(A200,CHAR(13),"")&amp;CHAR(10))-1)),FIND(".",(" "&amp;LEFT(SUBSTITUTE(A200,CHAR(13),""),FIND(CHAR(10),SUBSTITUTE(A200,CHAR(13),"")&amp;CHAR(10))-1))))," ",""))))+1),FIND(" ",(" "&amp;LEFT(SUBSTITUTE(A200,CHAR(13),""),FIND(CHAR(10),SUBSTITUTE(A200,CHAR(13),"")&amp;CHAR(10))-1))&amp;" ",FIND(".",(" "&amp;LEFT(SUBSTITUTE(A200,CHAR(13),""),FIND(CHAR(10),SUBSTITUTE(A200,CHAR(13),"")&amp;CHAR(10))-1))))-(FIND("~",SUBSTITUTE(LEFT((" "&amp;LEFT(SUBSTITUTE(A200,CHAR(13),""),FIND(CHAR(10),SUBSTITUTE(A200,CHAR(13),"")&amp;CHAR(10))-1)),FIND(".",(" "&amp;LEFT(SUBSTITUTE(A200,CHAR(13),""),FIND(CHAR(10),SUBSTITUTE(A200,CHAR(13),"")&amp;CHAR(10))-1))))," ","~",LEN(LEFT((" "&amp;LEFT(SUBSTITUTE(A200,CHAR(13),""),FIND(CHAR(10),SUBSTITUTE(A200,CHAR(13),"")&amp;CHAR(10))-1)),FIND(".",(" "&amp;LEFT(SUBSTITUTE(A200,CHAR(13),""),FIND(CHAR(10),SUBSTITUTE(A200,CHAR(13),"")&amp;CHAR(10))-1)))))-LEN(SUBSTITUTE(LEFT((" "&amp;LEFT(SUBSTITUTE(A200,CHAR(13),""),FIND(CHAR(10),SUBSTITUTE(A200,CHAR(13),"")&amp;CHAR(10))-1)),FIND(".",(" "&amp;LEFT(SUBSTITUTE(A200,CHAR(13),""),FIND(CHAR(10),SUBSTITUTE(A200,CHAR(13),"")&amp;CHAR(10))-1))))," ",""))))+1)),""))</f>
        <v/>
      </c>
    </row>
    <row r="201" customFormat="false" ht="30" hidden="false" customHeight="true" outlineLevel="0" collapsed="false">
      <c r="A201" s="11" t="str">
        <f aca="false">IFERROR(INDEX(Pegar!$A$3:$A$1002,MATCH(197,Pegar!$B$3:$B$1002,0))&amp;IF(LEFT(INDEX(Pegar!$A$3:$A$1003,MATCH(197,Pegar!$B$3:$B$1002,0)+1),5)="DESC=",CHAR(10)&amp;INDEX(Pegar!$A$3:$A$1003,MATCH(197,Pegar!$B$3:$B$1002,0)+1),""),"")</f>
        <v/>
      </c>
      <c r="B201" s="12" t="str">
        <f aca="false">IF(TRIM(A201)="","",IFERROR(MID(SUBSTITUTE(SUBSTITUTE(A201,CHAR(10)," "),CHAR(13)," "),FIND(" MT"," "&amp;SUBSTITUTE(SUBSTITUTE(A201,CHAR(10)," "),CHAR(13)," ")),FIND(" ",SUBSTITUTE(SUBSTITUTE(A201,CHAR(10)," "),CHAR(13)," ")&amp;" ",FIND(" MT"," "&amp;SUBSTITUTE(SUBSTITUTE(A201,CHAR(10)," "),CHAR(13)," ")))-FIND(" MT"," "&amp;SUBSTITUTE(SUBSTITUTE(A201,CHAR(10)," "),CHAR(13)," "))),"MT no encontrado"))</f>
        <v/>
      </c>
      <c r="C201" s="15" t="str">
        <f aca="false">IF(TRIM(A201)="","",IF(D201="",FALSE(),SUBSTITUTE(SUBSTITUTE(SUBSTITUTE(D201,".",""),"0",""),"-","")&lt;&gt;""))</f>
        <v/>
      </c>
      <c r="D201" s="14" t="str">
        <f aca="false">IF(TRIM(A201)="","",IFERROR(MID((" "&amp;LEFT(SUBSTITUTE(A201,CHAR(13),""),FIND(CHAR(10),SUBSTITUTE(A201,CHAR(13),"")&amp;CHAR(10))-1)),(FIND("~",SUBSTITUTE(LEFT((" "&amp;LEFT(SUBSTITUTE(A201,CHAR(13),""),FIND(CHAR(10),SUBSTITUTE(A201,CHAR(13),"")&amp;CHAR(10))-1)),FIND(".",(" "&amp;LEFT(SUBSTITUTE(A201,CHAR(13),""),FIND(CHAR(10),SUBSTITUTE(A201,CHAR(13),"")&amp;CHAR(10))-1))))," ","~",LEN(LEFT((" "&amp;LEFT(SUBSTITUTE(A201,CHAR(13),""),FIND(CHAR(10),SUBSTITUTE(A201,CHAR(13),"")&amp;CHAR(10))-1)),FIND(".",(" "&amp;LEFT(SUBSTITUTE(A201,CHAR(13),""),FIND(CHAR(10),SUBSTITUTE(A201,CHAR(13),"")&amp;CHAR(10))-1)))))-LEN(SUBSTITUTE(LEFT((" "&amp;LEFT(SUBSTITUTE(A201,CHAR(13),""),FIND(CHAR(10),SUBSTITUTE(A201,CHAR(13),"")&amp;CHAR(10))-1)),FIND(".",(" "&amp;LEFT(SUBSTITUTE(A201,CHAR(13),""),FIND(CHAR(10),SUBSTITUTE(A201,CHAR(13),"")&amp;CHAR(10))-1))))," ",""))))+1),FIND(" ",(" "&amp;LEFT(SUBSTITUTE(A201,CHAR(13),""),FIND(CHAR(10),SUBSTITUTE(A201,CHAR(13),"")&amp;CHAR(10))-1))&amp;" ",FIND(".",(" "&amp;LEFT(SUBSTITUTE(A201,CHAR(13),""),FIND(CHAR(10),SUBSTITUTE(A201,CHAR(13),"")&amp;CHAR(10))-1))))-(FIND("~",SUBSTITUTE(LEFT((" "&amp;LEFT(SUBSTITUTE(A201,CHAR(13),""),FIND(CHAR(10),SUBSTITUTE(A201,CHAR(13),"")&amp;CHAR(10))-1)),FIND(".",(" "&amp;LEFT(SUBSTITUTE(A201,CHAR(13),""),FIND(CHAR(10),SUBSTITUTE(A201,CHAR(13),"")&amp;CHAR(10))-1))))," ","~",LEN(LEFT((" "&amp;LEFT(SUBSTITUTE(A201,CHAR(13),""),FIND(CHAR(10),SUBSTITUTE(A201,CHAR(13),"")&amp;CHAR(10))-1)),FIND(".",(" "&amp;LEFT(SUBSTITUTE(A201,CHAR(13),""),FIND(CHAR(10),SUBSTITUTE(A201,CHAR(13),"")&amp;CHAR(10))-1)))))-LEN(SUBSTITUTE(LEFT((" "&amp;LEFT(SUBSTITUTE(A201,CHAR(13),""),FIND(CHAR(10),SUBSTITUTE(A201,CHAR(13),"")&amp;CHAR(10))-1)),FIND(".",(" "&amp;LEFT(SUBSTITUTE(A201,CHAR(13),""),FIND(CHAR(10),SUBSTITUTE(A201,CHAR(13),"")&amp;CHAR(10))-1))))," ",""))))+1)),""))</f>
        <v/>
      </c>
    </row>
    <row r="202" customFormat="false" ht="30" hidden="false" customHeight="true" outlineLevel="0" collapsed="false">
      <c r="A202" s="11" t="str">
        <f aca="false">IFERROR(INDEX(Pegar!$A$3:$A$1002,MATCH(198,Pegar!$B$3:$B$1002,0))&amp;IF(LEFT(INDEX(Pegar!$A$3:$A$1003,MATCH(198,Pegar!$B$3:$B$1002,0)+1),5)="DESC=",CHAR(10)&amp;INDEX(Pegar!$A$3:$A$1003,MATCH(198,Pegar!$B$3:$B$1002,0)+1),""),"")</f>
        <v/>
      </c>
      <c r="B202" s="12" t="str">
        <f aca="false">IF(TRIM(A202)="","",IFERROR(MID(SUBSTITUTE(SUBSTITUTE(A202,CHAR(10)," "),CHAR(13)," "),FIND(" MT"," "&amp;SUBSTITUTE(SUBSTITUTE(A202,CHAR(10)," "),CHAR(13)," ")),FIND(" ",SUBSTITUTE(SUBSTITUTE(A202,CHAR(10)," "),CHAR(13)," ")&amp;" ",FIND(" MT"," "&amp;SUBSTITUTE(SUBSTITUTE(A202,CHAR(10)," "),CHAR(13)," ")))-FIND(" MT"," "&amp;SUBSTITUTE(SUBSTITUTE(A202,CHAR(10)," "),CHAR(13)," "))),"MT no encontrado"))</f>
        <v/>
      </c>
      <c r="C202" s="15" t="str">
        <f aca="false">IF(TRIM(A202)="","",IF(D202="",FALSE(),SUBSTITUTE(SUBSTITUTE(SUBSTITUTE(D202,".",""),"0",""),"-","")&lt;&gt;""))</f>
        <v/>
      </c>
      <c r="D202" s="14" t="str">
        <f aca="false">IF(TRIM(A202)="","",IFERROR(MID((" "&amp;LEFT(SUBSTITUTE(A202,CHAR(13),""),FIND(CHAR(10),SUBSTITUTE(A202,CHAR(13),"")&amp;CHAR(10))-1)),(FIND("~",SUBSTITUTE(LEFT((" "&amp;LEFT(SUBSTITUTE(A202,CHAR(13),""),FIND(CHAR(10),SUBSTITUTE(A202,CHAR(13),"")&amp;CHAR(10))-1)),FIND(".",(" "&amp;LEFT(SUBSTITUTE(A202,CHAR(13),""),FIND(CHAR(10),SUBSTITUTE(A202,CHAR(13),"")&amp;CHAR(10))-1))))," ","~",LEN(LEFT((" "&amp;LEFT(SUBSTITUTE(A202,CHAR(13),""),FIND(CHAR(10),SUBSTITUTE(A202,CHAR(13),"")&amp;CHAR(10))-1)),FIND(".",(" "&amp;LEFT(SUBSTITUTE(A202,CHAR(13),""),FIND(CHAR(10),SUBSTITUTE(A202,CHAR(13),"")&amp;CHAR(10))-1)))))-LEN(SUBSTITUTE(LEFT((" "&amp;LEFT(SUBSTITUTE(A202,CHAR(13),""),FIND(CHAR(10),SUBSTITUTE(A202,CHAR(13),"")&amp;CHAR(10))-1)),FIND(".",(" "&amp;LEFT(SUBSTITUTE(A202,CHAR(13),""),FIND(CHAR(10),SUBSTITUTE(A202,CHAR(13),"")&amp;CHAR(10))-1))))," ",""))))+1),FIND(" ",(" "&amp;LEFT(SUBSTITUTE(A202,CHAR(13),""),FIND(CHAR(10),SUBSTITUTE(A202,CHAR(13),"")&amp;CHAR(10))-1))&amp;" ",FIND(".",(" "&amp;LEFT(SUBSTITUTE(A202,CHAR(13),""),FIND(CHAR(10),SUBSTITUTE(A202,CHAR(13),"")&amp;CHAR(10))-1))))-(FIND("~",SUBSTITUTE(LEFT((" "&amp;LEFT(SUBSTITUTE(A202,CHAR(13),""),FIND(CHAR(10),SUBSTITUTE(A202,CHAR(13),"")&amp;CHAR(10))-1)),FIND(".",(" "&amp;LEFT(SUBSTITUTE(A202,CHAR(13),""),FIND(CHAR(10),SUBSTITUTE(A202,CHAR(13),"")&amp;CHAR(10))-1))))," ","~",LEN(LEFT((" "&amp;LEFT(SUBSTITUTE(A202,CHAR(13),""),FIND(CHAR(10),SUBSTITUTE(A202,CHAR(13),"")&amp;CHAR(10))-1)),FIND(".",(" "&amp;LEFT(SUBSTITUTE(A202,CHAR(13),""),FIND(CHAR(10),SUBSTITUTE(A202,CHAR(13),"")&amp;CHAR(10))-1)))))-LEN(SUBSTITUTE(LEFT((" "&amp;LEFT(SUBSTITUTE(A202,CHAR(13),""),FIND(CHAR(10),SUBSTITUTE(A202,CHAR(13),"")&amp;CHAR(10))-1)),FIND(".",(" "&amp;LEFT(SUBSTITUTE(A202,CHAR(13),""),FIND(CHAR(10),SUBSTITUTE(A202,CHAR(13),"")&amp;CHAR(10))-1))))," ",""))))+1)),""))</f>
        <v/>
      </c>
    </row>
    <row r="203" customFormat="false" ht="30" hidden="false" customHeight="true" outlineLevel="0" collapsed="false">
      <c r="A203" s="11" t="str">
        <f aca="false">IFERROR(INDEX(Pegar!$A$3:$A$1002,MATCH(199,Pegar!$B$3:$B$1002,0))&amp;IF(LEFT(INDEX(Pegar!$A$3:$A$1003,MATCH(199,Pegar!$B$3:$B$1002,0)+1),5)="DESC=",CHAR(10)&amp;INDEX(Pegar!$A$3:$A$1003,MATCH(199,Pegar!$B$3:$B$1002,0)+1),""),"")</f>
        <v/>
      </c>
      <c r="B203" s="12" t="str">
        <f aca="false">IF(TRIM(A203)="","",IFERROR(MID(SUBSTITUTE(SUBSTITUTE(A203,CHAR(10)," "),CHAR(13)," "),FIND(" MT"," "&amp;SUBSTITUTE(SUBSTITUTE(A203,CHAR(10)," "),CHAR(13)," ")),FIND(" ",SUBSTITUTE(SUBSTITUTE(A203,CHAR(10)," "),CHAR(13)," ")&amp;" ",FIND(" MT"," "&amp;SUBSTITUTE(SUBSTITUTE(A203,CHAR(10)," "),CHAR(13)," ")))-FIND(" MT"," "&amp;SUBSTITUTE(SUBSTITUTE(A203,CHAR(10)," "),CHAR(13)," "))),"MT no encontrado"))</f>
        <v/>
      </c>
      <c r="C203" s="15" t="str">
        <f aca="false">IF(TRIM(A203)="","",IF(D203="",FALSE(),SUBSTITUTE(SUBSTITUTE(SUBSTITUTE(D203,".",""),"0",""),"-","")&lt;&gt;""))</f>
        <v/>
      </c>
      <c r="D203" s="14" t="str">
        <f aca="false">IF(TRIM(A203)="","",IFERROR(MID((" "&amp;LEFT(SUBSTITUTE(A203,CHAR(13),""),FIND(CHAR(10),SUBSTITUTE(A203,CHAR(13),"")&amp;CHAR(10))-1)),(FIND("~",SUBSTITUTE(LEFT((" "&amp;LEFT(SUBSTITUTE(A203,CHAR(13),""),FIND(CHAR(10),SUBSTITUTE(A203,CHAR(13),"")&amp;CHAR(10))-1)),FIND(".",(" "&amp;LEFT(SUBSTITUTE(A203,CHAR(13),""),FIND(CHAR(10),SUBSTITUTE(A203,CHAR(13),"")&amp;CHAR(10))-1))))," ","~",LEN(LEFT((" "&amp;LEFT(SUBSTITUTE(A203,CHAR(13),""),FIND(CHAR(10),SUBSTITUTE(A203,CHAR(13),"")&amp;CHAR(10))-1)),FIND(".",(" "&amp;LEFT(SUBSTITUTE(A203,CHAR(13),""),FIND(CHAR(10),SUBSTITUTE(A203,CHAR(13),"")&amp;CHAR(10))-1)))))-LEN(SUBSTITUTE(LEFT((" "&amp;LEFT(SUBSTITUTE(A203,CHAR(13),""),FIND(CHAR(10),SUBSTITUTE(A203,CHAR(13),"")&amp;CHAR(10))-1)),FIND(".",(" "&amp;LEFT(SUBSTITUTE(A203,CHAR(13),""),FIND(CHAR(10),SUBSTITUTE(A203,CHAR(13),"")&amp;CHAR(10))-1))))," ",""))))+1),FIND(" ",(" "&amp;LEFT(SUBSTITUTE(A203,CHAR(13),""),FIND(CHAR(10),SUBSTITUTE(A203,CHAR(13),"")&amp;CHAR(10))-1))&amp;" ",FIND(".",(" "&amp;LEFT(SUBSTITUTE(A203,CHAR(13),""),FIND(CHAR(10),SUBSTITUTE(A203,CHAR(13),"")&amp;CHAR(10))-1))))-(FIND("~",SUBSTITUTE(LEFT((" "&amp;LEFT(SUBSTITUTE(A203,CHAR(13),""),FIND(CHAR(10),SUBSTITUTE(A203,CHAR(13),"")&amp;CHAR(10))-1)),FIND(".",(" "&amp;LEFT(SUBSTITUTE(A203,CHAR(13),""),FIND(CHAR(10),SUBSTITUTE(A203,CHAR(13),"")&amp;CHAR(10))-1))))," ","~",LEN(LEFT((" "&amp;LEFT(SUBSTITUTE(A203,CHAR(13),""),FIND(CHAR(10),SUBSTITUTE(A203,CHAR(13),"")&amp;CHAR(10))-1)),FIND(".",(" "&amp;LEFT(SUBSTITUTE(A203,CHAR(13),""),FIND(CHAR(10),SUBSTITUTE(A203,CHAR(13),"")&amp;CHAR(10))-1)))))-LEN(SUBSTITUTE(LEFT((" "&amp;LEFT(SUBSTITUTE(A203,CHAR(13),""),FIND(CHAR(10),SUBSTITUTE(A203,CHAR(13),"")&amp;CHAR(10))-1)),FIND(".",(" "&amp;LEFT(SUBSTITUTE(A203,CHAR(13),""),FIND(CHAR(10),SUBSTITUTE(A203,CHAR(13),"")&amp;CHAR(10))-1))))," ",""))))+1)),""))</f>
        <v/>
      </c>
    </row>
    <row r="204" customFormat="false" ht="30" hidden="false" customHeight="true" outlineLevel="0" collapsed="false">
      <c r="A204" s="11" t="str">
        <f aca="false">IFERROR(INDEX(Pegar!$A$3:$A$1002,MATCH(200,Pegar!$B$3:$B$1002,0))&amp;IF(LEFT(INDEX(Pegar!$A$3:$A$1003,MATCH(200,Pegar!$B$3:$B$1002,0)+1),5)="DESC=",CHAR(10)&amp;INDEX(Pegar!$A$3:$A$1003,MATCH(200,Pegar!$B$3:$B$1002,0)+1),""),"")</f>
        <v/>
      </c>
      <c r="B204" s="12" t="str">
        <f aca="false">IF(TRIM(A204)="","",IFERROR(MID(SUBSTITUTE(SUBSTITUTE(A204,CHAR(10)," "),CHAR(13)," "),FIND(" MT"," "&amp;SUBSTITUTE(SUBSTITUTE(A204,CHAR(10)," "),CHAR(13)," ")),FIND(" ",SUBSTITUTE(SUBSTITUTE(A204,CHAR(10)," "),CHAR(13)," ")&amp;" ",FIND(" MT"," "&amp;SUBSTITUTE(SUBSTITUTE(A204,CHAR(10)," "),CHAR(13)," ")))-FIND(" MT"," "&amp;SUBSTITUTE(SUBSTITUTE(A204,CHAR(10)," "),CHAR(13)," "))),"MT no encontrado"))</f>
        <v/>
      </c>
      <c r="C204" s="15" t="str">
        <f aca="false">IF(TRIM(A204)="","",IF(D204="",FALSE(),SUBSTITUTE(SUBSTITUTE(SUBSTITUTE(D204,".",""),"0",""),"-","")&lt;&gt;""))</f>
        <v/>
      </c>
      <c r="D204" s="14" t="str">
        <f aca="false">IF(TRIM(A204)="","",IFERROR(MID((" "&amp;LEFT(SUBSTITUTE(A204,CHAR(13),""),FIND(CHAR(10),SUBSTITUTE(A204,CHAR(13),"")&amp;CHAR(10))-1)),(FIND("~",SUBSTITUTE(LEFT((" "&amp;LEFT(SUBSTITUTE(A204,CHAR(13),""),FIND(CHAR(10),SUBSTITUTE(A204,CHAR(13),"")&amp;CHAR(10))-1)),FIND(".",(" "&amp;LEFT(SUBSTITUTE(A204,CHAR(13),""),FIND(CHAR(10),SUBSTITUTE(A204,CHAR(13),"")&amp;CHAR(10))-1))))," ","~",LEN(LEFT((" "&amp;LEFT(SUBSTITUTE(A204,CHAR(13),""),FIND(CHAR(10),SUBSTITUTE(A204,CHAR(13),"")&amp;CHAR(10))-1)),FIND(".",(" "&amp;LEFT(SUBSTITUTE(A204,CHAR(13),""),FIND(CHAR(10),SUBSTITUTE(A204,CHAR(13),"")&amp;CHAR(10))-1)))))-LEN(SUBSTITUTE(LEFT((" "&amp;LEFT(SUBSTITUTE(A204,CHAR(13),""),FIND(CHAR(10),SUBSTITUTE(A204,CHAR(13),"")&amp;CHAR(10))-1)),FIND(".",(" "&amp;LEFT(SUBSTITUTE(A204,CHAR(13),""),FIND(CHAR(10),SUBSTITUTE(A204,CHAR(13),"")&amp;CHAR(10))-1))))," ",""))))+1),FIND(" ",(" "&amp;LEFT(SUBSTITUTE(A204,CHAR(13),""),FIND(CHAR(10),SUBSTITUTE(A204,CHAR(13),"")&amp;CHAR(10))-1))&amp;" ",FIND(".",(" "&amp;LEFT(SUBSTITUTE(A204,CHAR(13),""),FIND(CHAR(10),SUBSTITUTE(A204,CHAR(13),"")&amp;CHAR(10))-1))))-(FIND("~",SUBSTITUTE(LEFT((" "&amp;LEFT(SUBSTITUTE(A204,CHAR(13),""),FIND(CHAR(10),SUBSTITUTE(A204,CHAR(13),"")&amp;CHAR(10))-1)),FIND(".",(" "&amp;LEFT(SUBSTITUTE(A204,CHAR(13),""),FIND(CHAR(10),SUBSTITUTE(A204,CHAR(13),"")&amp;CHAR(10))-1))))," ","~",LEN(LEFT((" "&amp;LEFT(SUBSTITUTE(A204,CHAR(13),""),FIND(CHAR(10),SUBSTITUTE(A204,CHAR(13),"")&amp;CHAR(10))-1)),FIND(".",(" "&amp;LEFT(SUBSTITUTE(A204,CHAR(13),""),FIND(CHAR(10),SUBSTITUTE(A204,CHAR(13),"")&amp;CHAR(10))-1)))))-LEN(SUBSTITUTE(LEFT((" "&amp;LEFT(SUBSTITUTE(A204,CHAR(13),""),FIND(CHAR(10),SUBSTITUTE(A204,CHAR(13),"")&amp;CHAR(10))-1)),FIND(".",(" "&amp;LEFT(SUBSTITUTE(A204,CHAR(13),""),FIND(CHAR(10),SUBSTITUTE(A204,CHAR(13),"")&amp;CHAR(10))-1))))," ",""))))+1)),""))</f>
        <v/>
      </c>
    </row>
    <row r="205" customFormat="false" ht="30" hidden="false" customHeight="true" outlineLevel="0" collapsed="false">
      <c r="A205" s="11" t="str">
        <f aca="false">IFERROR(INDEX(Pegar!$A$3:$A$1002,MATCH(201,Pegar!$B$3:$B$1002,0))&amp;IF(LEFT(INDEX(Pegar!$A$3:$A$1003,MATCH(201,Pegar!$B$3:$B$1002,0)+1),5)="DESC=",CHAR(10)&amp;INDEX(Pegar!$A$3:$A$1003,MATCH(201,Pegar!$B$3:$B$1002,0)+1),""),"")</f>
        <v/>
      </c>
      <c r="B205" s="12" t="str">
        <f aca="false">IF(TRIM(A205)="","",IFERROR(MID(SUBSTITUTE(SUBSTITUTE(A205,CHAR(10)," "),CHAR(13)," "),FIND(" MT"," "&amp;SUBSTITUTE(SUBSTITUTE(A205,CHAR(10)," "),CHAR(13)," ")),FIND(" ",SUBSTITUTE(SUBSTITUTE(A205,CHAR(10)," "),CHAR(13)," ")&amp;" ",FIND(" MT"," "&amp;SUBSTITUTE(SUBSTITUTE(A205,CHAR(10)," "),CHAR(13)," ")))-FIND(" MT"," "&amp;SUBSTITUTE(SUBSTITUTE(A205,CHAR(10)," "),CHAR(13)," "))),"MT no encontrado"))</f>
        <v/>
      </c>
      <c r="C205" s="15" t="str">
        <f aca="false">IF(TRIM(A205)="","",IF(D205="",FALSE(),SUBSTITUTE(SUBSTITUTE(SUBSTITUTE(D205,".",""),"0",""),"-","")&lt;&gt;""))</f>
        <v/>
      </c>
      <c r="D205" s="14" t="str">
        <f aca="false">IF(TRIM(A205)="","",IFERROR(MID((" "&amp;LEFT(SUBSTITUTE(A205,CHAR(13),""),FIND(CHAR(10),SUBSTITUTE(A205,CHAR(13),"")&amp;CHAR(10))-1)),(FIND("~",SUBSTITUTE(LEFT((" "&amp;LEFT(SUBSTITUTE(A205,CHAR(13),""),FIND(CHAR(10),SUBSTITUTE(A205,CHAR(13),"")&amp;CHAR(10))-1)),FIND(".",(" "&amp;LEFT(SUBSTITUTE(A205,CHAR(13),""),FIND(CHAR(10),SUBSTITUTE(A205,CHAR(13),"")&amp;CHAR(10))-1))))," ","~",LEN(LEFT((" "&amp;LEFT(SUBSTITUTE(A205,CHAR(13),""),FIND(CHAR(10),SUBSTITUTE(A205,CHAR(13),"")&amp;CHAR(10))-1)),FIND(".",(" "&amp;LEFT(SUBSTITUTE(A205,CHAR(13),""),FIND(CHAR(10),SUBSTITUTE(A205,CHAR(13),"")&amp;CHAR(10))-1)))))-LEN(SUBSTITUTE(LEFT((" "&amp;LEFT(SUBSTITUTE(A205,CHAR(13),""),FIND(CHAR(10),SUBSTITUTE(A205,CHAR(13),"")&amp;CHAR(10))-1)),FIND(".",(" "&amp;LEFT(SUBSTITUTE(A205,CHAR(13),""),FIND(CHAR(10),SUBSTITUTE(A205,CHAR(13),"")&amp;CHAR(10))-1))))," ",""))))+1),FIND(" ",(" "&amp;LEFT(SUBSTITUTE(A205,CHAR(13),""),FIND(CHAR(10),SUBSTITUTE(A205,CHAR(13),"")&amp;CHAR(10))-1))&amp;" ",FIND(".",(" "&amp;LEFT(SUBSTITUTE(A205,CHAR(13),""),FIND(CHAR(10),SUBSTITUTE(A205,CHAR(13),"")&amp;CHAR(10))-1))))-(FIND("~",SUBSTITUTE(LEFT((" "&amp;LEFT(SUBSTITUTE(A205,CHAR(13),""),FIND(CHAR(10),SUBSTITUTE(A205,CHAR(13),"")&amp;CHAR(10))-1)),FIND(".",(" "&amp;LEFT(SUBSTITUTE(A205,CHAR(13),""),FIND(CHAR(10),SUBSTITUTE(A205,CHAR(13),"")&amp;CHAR(10))-1))))," ","~",LEN(LEFT((" "&amp;LEFT(SUBSTITUTE(A205,CHAR(13),""),FIND(CHAR(10),SUBSTITUTE(A205,CHAR(13),"")&amp;CHAR(10))-1)),FIND(".",(" "&amp;LEFT(SUBSTITUTE(A205,CHAR(13),""),FIND(CHAR(10),SUBSTITUTE(A205,CHAR(13),"")&amp;CHAR(10))-1)))))-LEN(SUBSTITUTE(LEFT((" "&amp;LEFT(SUBSTITUTE(A205,CHAR(13),""),FIND(CHAR(10),SUBSTITUTE(A205,CHAR(13),"")&amp;CHAR(10))-1)),FIND(".",(" "&amp;LEFT(SUBSTITUTE(A205,CHAR(13),""),FIND(CHAR(10),SUBSTITUTE(A205,CHAR(13),"")&amp;CHAR(10))-1))))," ",""))))+1)),""))</f>
        <v/>
      </c>
    </row>
    <row r="206" customFormat="false" ht="30" hidden="false" customHeight="true" outlineLevel="0" collapsed="false">
      <c r="A206" s="11" t="str">
        <f aca="false">IFERROR(INDEX(Pegar!$A$3:$A$1002,MATCH(202,Pegar!$B$3:$B$1002,0))&amp;IF(LEFT(INDEX(Pegar!$A$3:$A$1003,MATCH(202,Pegar!$B$3:$B$1002,0)+1),5)="DESC=",CHAR(10)&amp;INDEX(Pegar!$A$3:$A$1003,MATCH(202,Pegar!$B$3:$B$1002,0)+1),""),"")</f>
        <v/>
      </c>
      <c r="B206" s="12" t="str">
        <f aca="false">IF(TRIM(A206)="","",IFERROR(MID(SUBSTITUTE(SUBSTITUTE(A206,CHAR(10)," "),CHAR(13)," "),FIND(" MT"," "&amp;SUBSTITUTE(SUBSTITUTE(A206,CHAR(10)," "),CHAR(13)," ")),FIND(" ",SUBSTITUTE(SUBSTITUTE(A206,CHAR(10)," "),CHAR(13)," ")&amp;" ",FIND(" MT"," "&amp;SUBSTITUTE(SUBSTITUTE(A206,CHAR(10)," "),CHAR(13)," ")))-FIND(" MT"," "&amp;SUBSTITUTE(SUBSTITUTE(A206,CHAR(10)," "),CHAR(13)," "))),"MT no encontrado"))</f>
        <v/>
      </c>
      <c r="C206" s="15" t="str">
        <f aca="false">IF(TRIM(A206)="","",IF(D206="",FALSE(),SUBSTITUTE(SUBSTITUTE(SUBSTITUTE(D206,".",""),"0",""),"-","")&lt;&gt;""))</f>
        <v/>
      </c>
      <c r="D206" s="14" t="str">
        <f aca="false">IF(TRIM(A206)="","",IFERROR(MID((" "&amp;LEFT(SUBSTITUTE(A206,CHAR(13),""),FIND(CHAR(10),SUBSTITUTE(A206,CHAR(13),"")&amp;CHAR(10))-1)),(FIND("~",SUBSTITUTE(LEFT((" "&amp;LEFT(SUBSTITUTE(A206,CHAR(13),""),FIND(CHAR(10),SUBSTITUTE(A206,CHAR(13),"")&amp;CHAR(10))-1)),FIND(".",(" "&amp;LEFT(SUBSTITUTE(A206,CHAR(13),""),FIND(CHAR(10),SUBSTITUTE(A206,CHAR(13),"")&amp;CHAR(10))-1))))," ","~",LEN(LEFT((" "&amp;LEFT(SUBSTITUTE(A206,CHAR(13),""),FIND(CHAR(10),SUBSTITUTE(A206,CHAR(13),"")&amp;CHAR(10))-1)),FIND(".",(" "&amp;LEFT(SUBSTITUTE(A206,CHAR(13),""),FIND(CHAR(10),SUBSTITUTE(A206,CHAR(13),"")&amp;CHAR(10))-1)))))-LEN(SUBSTITUTE(LEFT((" "&amp;LEFT(SUBSTITUTE(A206,CHAR(13),""),FIND(CHAR(10),SUBSTITUTE(A206,CHAR(13),"")&amp;CHAR(10))-1)),FIND(".",(" "&amp;LEFT(SUBSTITUTE(A206,CHAR(13),""),FIND(CHAR(10),SUBSTITUTE(A206,CHAR(13),"")&amp;CHAR(10))-1))))," ",""))))+1),FIND(" ",(" "&amp;LEFT(SUBSTITUTE(A206,CHAR(13),""),FIND(CHAR(10),SUBSTITUTE(A206,CHAR(13),"")&amp;CHAR(10))-1))&amp;" ",FIND(".",(" "&amp;LEFT(SUBSTITUTE(A206,CHAR(13),""),FIND(CHAR(10),SUBSTITUTE(A206,CHAR(13),"")&amp;CHAR(10))-1))))-(FIND("~",SUBSTITUTE(LEFT((" "&amp;LEFT(SUBSTITUTE(A206,CHAR(13),""),FIND(CHAR(10),SUBSTITUTE(A206,CHAR(13),"")&amp;CHAR(10))-1)),FIND(".",(" "&amp;LEFT(SUBSTITUTE(A206,CHAR(13),""),FIND(CHAR(10),SUBSTITUTE(A206,CHAR(13),"")&amp;CHAR(10))-1))))," ","~",LEN(LEFT((" "&amp;LEFT(SUBSTITUTE(A206,CHAR(13),""),FIND(CHAR(10),SUBSTITUTE(A206,CHAR(13),"")&amp;CHAR(10))-1)),FIND(".",(" "&amp;LEFT(SUBSTITUTE(A206,CHAR(13),""),FIND(CHAR(10),SUBSTITUTE(A206,CHAR(13),"")&amp;CHAR(10))-1)))))-LEN(SUBSTITUTE(LEFT((" "&amp;LEFT(SUBSTITUTE(A206,CHAR(13),""),FIND(CHAR(10),SUBSTITUTE(A206,CHAR(13),"")&amp;CHAR(10))-1)),FIND(".",(" "&amp;LEFT(SUBSTITUTE(A206,CHAR(13),""),FIND(CHAR(10),SUBSTITUTE(A206,CHAR(13),"")&amp;CHAR(10))-1))))," ",""))))+1)),""))</f>
        <v/>
      </c>
    </row>
    <row r="207" customFormat="false" ht="30" hidden="false" customHeight="true" outlineLevel="0" collapsed="false">
      <c r="A207" s="11" t="str">
        <f aca="false">IFERROR(INDEX(Pegar!$A$3:$A$1002,MATCH(203,Pegar!$B$3:$B$1002,0))&amp;IF(LEFT(INDEX(Pegar!$A$3:$A$1003,MATCH(203,Pegar!$B$3:$B$1002,0)+1),5)="DESC=",CHAR(10)&amp;INDEX(Pegar!$A$3:$A$1003,MATCH(203,Pegar!$B$3:$B$1002,0)+1),""),"")</f>
        <v/>
      </c>
      <c r="B207" s="12" t="str">
        <f aca="false">IF(TRIM(A207)="","",IFERROR(MID(SUBSTITUTE(SUBSTITUTE(A207,CHAR(10)," "),CHAR(13)," "),FIND(" MT"," "&amp;SUBSTITUTE(SUBSTITUTE(A207,CHAR(10)," "),CHAR(13)," ")),FIND(" ",SUBSTITUTE(SUBSTITUTE(A207,CHAR(10)," "),CHAR(13)," ")&amp;" ",FIND(" MT"," "&amp;SUBSTITUTE(SUBSTITUTE(A207,CHAR(10)," "),CHAR(13)," ")))-FIND(" MT"," "&amp;SUBSTITUTE(SUBSTITUTE(A207,CHAR(10)," "),CHAR(13)," "))),"MT no encontrado"))</f>
        <v/>
      </c>
      <c r="C207" s="15" t="str">
        <f aca="false">IF(TRIM(A207)="","",IF(D207="",FALSE(),SUBSTITUTE(SUBSTITUTE(SUBSTITUTE(D207,".",""),"0",""),"-","")&lt;&gt;""))</f>
        <v/>
      </c>
      <c r="D207" s="14" t="str">
        <f aca="false">IF(TRIM(A207)="","",IFERROR(MID((" "&amp;LEFT(SUBSTITUTE(A207,CHAR(13),""),FIND(CHAR(10),SUBSTITUTE(A207,CHAR(13),"")&amp;CHAR(10))-1)),(FIND("~",SUBSTITUTE(LEFT((" "&amp;LEFT(SUBSTITUTE(A207,CHAR(13),""),FIND(CHAR(10),SUBSTITUTE(A207,CHAR(13),"")&amp;CHAR(10))-1)),FIND(".",(" "&amp;LEFT(SUBSTITUTE(A207,CHAR(13),""),FIND(CHAR(10),SUBSTITUTE(A207,CHAR(13),"")&amp;CHAR(10))-1))))," ","~",LEN(LEFT((" "&amp;LEFT(SUBSTITUTE(A207,CHAR(13),""),FIND(CHAR(10),SUBSTITUTE(A207,CHAR(13),"")&amp;CHAR(10))-1)),FIND(".",(" "&amp;LEFT(SUBSTITUTE(A207,CHAR(13),""),FIND(CHAR(10),SUBSTITUTE(A207,CHAR(13),"")&amp;CHAR(10))-1)))))-LEN(SUBSTITUTE(LEFT((" "&amp;LEFT(SUBSTITUTE(A207,CHAR(13),""),FIND(CHAR(10),SUBSTITUTE(A207,CHAR(13),"")&amp;CHAR(10))-1)),FIND(".",(" "&amp;LEFT(SUBSTITUTE(A207,CHAR(13),""),FIND(CHAR(10),SUBSTITUTE(A207,CHAR(13),"")&amp;CHAR(10))-1))))," ",""))))+1),FIND(" ",(" "&amp;LEFT(SUBSTITUTE(A207,CHAR(13),""),FIND(CHAR(10),SUBSTITUTE(A207,CHAR(13),"")&amp;CHAR(10))-1))&amp;" ",FIND(".",(" "&amp;LEFT(SUBSTITUTE(A207,CHAR(13),""),FIND(CHAR(10),SUBSTITUTE(A207,CHAR(13),"")&amp;CHAR(10))-1))))-(FIND("~",SUBSTITUTE(LEFT((" "&amp;LEFT(SUBSTITUTE(A207,CHAR(13),""),FIND(CHAR(10),SUBSTITUTE(A207,CHAR(13),"")&amp;CHAR(10))-1)),FIND(".",(" "&amp;LEFT(SUBSTITUTE(A207,CHAR(13),""),FIND(CHAR(10),SUBSTITUTE(A207,CHAR(13),"")&amp;CHAR(10))-1))))," ","~",LEN(LEFT((" "&amp;LEFT(SUBSTITUTE(A207,CHAR(13),""),FIND(CHAR(10),SUBSTITUTE(A207,CHAR(13),"")&amp;CHAR(10))-1)),FIND(".",(" "&amp;LEFT(SUBSTITUTE(A207,CHAR(13),""),FIND(CHAR(10),SUBSTITUTE(A207,CHAR(13),"")&amp;CHAR(10))-1)))))-LEN(SUBSTITUTE(LEFT((" "&amp;LEFT(SUBSTITUTE(A207,CHAR(13),""),FIND(CHAR(10),SUBSTITUTE(A207,CHAR(13),"")&amp;CHAR(10))-1)),FIND(".",(" "&amp;LEFT(SUBSTITUTE(A207,CHAR(13),""),FIND(CHAR(10),SUBSTITUTE(A207,CHAR(13),"")&amp;CHAR(10))-1))))," ",""))))+1)),""))</f>
        <v/>
      </c>
    </row>
    <row r="208" customFormat="false" ht="30" hidden="false" customHeight="true" outlineLevel="0" collapsed="false">
      <c r="A208" s="11" t="str">
        <f aca="false">IFERROR(INDEX(Pegar!$A$3:$A$1002,MATCH(204,Pegar!$B$3:$B$1002,0))&amp;IF(LEFT(INDEX(Pegar!$A$3:$A$1003,MATCH(204,Pegar!$B$3:$B$1002,0)+1),5)="DESC=",CHAR(10)&amp;INDEX(Pegar!$A$3:$A$1003,MATCH(204,Pegar!$B$3:$B$1002,0)+1),""),"")</f>
        <v/>
      </c>
      <c r="B208" s="12" t="str">
        <f aca="false">IF(TRIM(A208)="","",IFERROR(MID(SUBSTITUTE(SUBSTITUTE(A208,CHAR(10)," "),CHAR(13)," "),FIND(" MT"," "&amp;SUBSTITUTE(SUBSTITUTE(A208,CHAR(10)," "),CHAR(13)," ")),FIND(" ",SUBSTITUTE(SUBSTITUTE(A208,CHAR(10)," "),CHAR(13)," ")&amp;" ",FIND(" MT"," "&amp;SUBSTITUTE(SUBSTITUTE(A208,CHAR(10)," "),CHAR(13)," ")))-FIND(" MT"," "&amp;SUBSTITUTE(SUBSTITUTE(A208,CHAR(10)," "),CHAR(13)," "))),"MT no encontrado"))</f>
        <v/>
      </c>
      <c r="C208" s="15" t="str">
        <f aca="false">IF(TRIM(A208)="","",IF(D208="",FALSE(),SUBSTITUTE(SUBSTITUTE(SUBSTITUTE(D208,".",""),"0",""),"-","")&lt;&gt;""))</f>
        <v/>
      </c>
      <c r="D208" s="14" t="str">
        <f aca="false">IF(TRIM(A208)="","",IFERROR(MID((" "&amp;LEFT(SUBSTITUTE(A208,CHAR(13),""),FIND(CHAR(10),SUBSTITUTE(A208,CHAR(13),"")&amp;CHAR(10))-1)),(FIND("~",SUBSTITUTE(LEFT((" "&amp;LEFT(SUBSTITUTE(A208,CHAR(13),""),FIND(CHAR(10),SUBSTITUTE(A208,CHAR(13),"")&amp;CHAR(10))-1)),FIND(".",(" "&amp;LEFT(SUBSTITUTE(A208,CHAR(13),""),FIND(CHAR(10),SUBSTITUTE(A208,CHAR(13),"")&amp;CHAR(10))-1))))," ","~",LEN(LEFT((" "&amp;LEFT(SUBSTITUTE(A208,CHAR(13),""),FIND(CHAR(10),SUBSTITUTE(A208,CHAR(13),"")&amp;CHAR(10))-1)),FIND(".",(" "&amp;LEFT(SUBSTITUTE(A208,CHAR(13),""),FIND(CHAR(10),SUBSTITUTE(A208,CHAR(13),"")&amp;CHAR(10))-1)))))-LEN(SUBSTITUTE(LEFT((" "&amp;LEFT(SUBSTITUTE(A208,CHAR(13),""),FIND(CHAR(10),SUBSTITUTE(A208,CHAR(13),"")&amp;CHAR(10))-1)),FIND(".",(" "&amp;LEFT(SUBSTITUTE(A208,CHAR(13),""),FIND(CHAR(10),SUBSTITUTE(A208,CHAR(13),"")&amp;CHAR(10))-1))))," ",""))))+1),FIND(" ",(" "&amp;LEFT(SUBSTITUTE(A208,CHAR(13),""),FIND(CHAR(10),SUBSTITUTE(A208,CHAR(13),"")&amp;CHAR(10))-1))&amp;" ",FIND(".",(" "&amp;LEFT(SUBSTITUTE(A208,CHAR(13),""),FIND(CHAR(10),SUBSTITUTE(A208,CHAR(13),"")&amp;CHAR(10))-1))))-(FIND("~",SUBSTITUTE(LEFT((" "&amp;LEFT(SUBSTITUTE(A208,CHAR(13),""),FIND(CHAR(10),SUBSTITUTE(A208,CHAR(13),"")&amp;CHAR(10))-1)),FIND(".",(" "&amp;LEFT(SUBSTITUTE(A208,CHAR(13),""),FIND(CHAR(10),SUBSTITUTE(A208,CHAR(13),"")&amp;CHAR(10))-1))))," ","~",LEN(LEFT((" "&amp;LEFT(SUBSTITUTE(A208,CHAR(13),""),FIND(CHAR(10),SUBSTITUTE(A208,CHAR(13),"")&amp;CHAR(10))-1)),FIND(".",(" "&amp;LEFT(SUBSTITUTE(A208,CHAR(13),""),FIND(CHAR(10),SUBSTITUTE(A208,CHAR(13),"")&amp;CHAR(10))-1)))))-LEN(SUBSTITUTE(LEFT((" "&amp;LEFT(SUBSTITUTE(A208,CHAR(13),""),FIND(CHAR(10),SUBSTITUTE(A208,CHAR(13),"")&amp;CHAR(10))-1)),FIND(".",(" "&amp;LEFT(SUBSTITUTE(A208,CHAR(13),""),FIND(CHAR(10),SUBSTITUTE(A208,CHAR(13),"")&amp;CHAR(10))-1))))," ",""))))+1)),""))</f>
        <v/>
      </c>
    </row>
    <row r="209" customFormat="false" ht="30" hidden="false" customHeight="true" outlineLevel="0" collapsed="false">
      <c r="A209" s="11" t="str">
        <f aca="false">IFERROR(INDEX(Pegar!$A$3:$A$1002,MATCH(205,Pegar!$B$3:$B$1002,0))&amp;IF(LEFT(INDEX(Pegar!$A$3:$A$1003,MATCH(205,Pegar!$B$3:$B$1002,0)+1),5)="DESC=",CHAR(10)&amp;INDEX(Pegar!$A$3:$A$1003,MATCH(205,Pegar!$B$3:$B$1002,0)+1),""),"")</f>
        <v/>
      </c>
      <c r="B209" s="12" t="str">
        <f aca="false">IF(TRIM(A209)="","",IFERROR(MID(SUBSTITUTE(SUBSTITUTE(A209,CHAR(10)," "),CHAR(13)," "),FIND(" MT"," "&amp;SUBSTITUTE(SUBSTITUTE(A209,CHAR(10)," "),CHAR(13)," ")),FIND(" ",SUBSTITUTE(SUBSTITUTE(A209,CHAR(10)," "),CHAR(13)," ")&amp;" ",FIND(" MT"," "&amp;SUBSTITUTE(SUBSTITUTE(A209,CHAR(10)," "),CHAR(13)," ")))-FIND(" MT"," "&amp;SUBSTITUTE(SUBSTITUTE(A209,CHAR(10)," "),CHAR(13)," "))),"MT no encontrado"))</f>
        <v/>
      </c>
      <c r="C209" s="15" t="str">
        <f aca="false">IF(TRIM(A209)="","",IF(D209="",FALSE(),SUBSTITUTE(SUBSTITUTE(SUBSTITUTE(D209,".",""),"0",""),"-","")&lt;&gt;""))</f>
        <v/>
      </c>
      <c r="D209" s="14" t="str">
        <f aca="false">IF(TRIM(A209)="","",IFERROR(MID((" "&amp;LEFT(SUBSTITUTE(A209,CHAR(13),""),FIND(CHAR(10),SUBSTITUTE(A209,CHAR(13),"")&amp;CHAR(10))-1)),(FIND("~",SUBSTITUTE(LEFT((" "&amp;LEFT(SUBSTITUTE(A209,CHAR(13),""),FIND(CHAR(10),SUBSTITUTE(A209,CHAR(13),"")&amp;CHAR(10))-1)),FIND(".",(" "&amp;LEFT(SUBSTITUTE(A209,CHAR(13),""),FIND(CHAR(10),SUBSTITUTE(A209,CHAR(13),"")&amp;CHAR(10))-1))))," ","~",LEN(LEFT((" "&amp;LEFT(SUBSTITUTE(A209,CHAR(13),""),FIND(CHAR(10),SUBSTITUTE(A209,CHAR(13),"")&amp;CHAR(10))-1)),FIND(".",(" "&amp;LEFT(SUBSTITUTE(A209,CHAR(13),""),FIND(CHAR(10),SUBSTITUTE(A209,CHAR(13),"")&amp;CHAR(10))-1)))))-LEN(SUBSTITUTE(LEFT((" "&amp;LEFT(SUBSTITUTE(A209,CHAR(13),""),FIND(CHAR(10),SUBSTITUTE(A209,CHAR(13),"")&amp;CHAR(10))-1)),FIND(".",(" "&amp;LEFT(SUBSTITUTE(A209,CHAR(13),""),FIND(CHAR(10),SUBSTITUTE(A209,CHAR(13),"")&amp;CHAR(10))-1))))," ",""))))+1),FIND(" ",(" "&amp;LEFT(SUBSTITUTE(A209,CHAR(13),""),FIND(CHAR(10),SUBSTITUTE(A209,CHAR(13),"")&amp;CHAR(10))-1))&amp;" ",FIND(".",(" "&amp;LEFT(SUBSTITUTE(A209,CHAR(13),""),FIND(CHAR(10),SUBSTITUTE(A209,CHAR(13),"")&amp;CHAR(10))-1))))-(FIND("~",SUBSTITUTE(LEFT((" "&amp;LEFT(SUBSTITUTE(A209,CHAR(13),""),FIND(CHAR(10),SUBSTITUTE(A209,CHAR(13),"")&amp;CHAR(10))-1)),FIND(".",(" "&amp;LEFT(SUBSTITUTE(A209,CHAR(13),""),FIND(CHAR(10),SUBSTITUTE(A209,CHAR(13),"")&amp;CHAR(10))-1))))," ","~",LEN(LEFT((" "&amp;LEFT(SUBSTITUTE(A209,CHAR(13),""),FIND(CHAR(10),SUBSTITUTE(A209,CHAR(13),"")&amp;CHAR(10))-1)),FIND(".",(" "&amp;LEFT(SUBSTITUTE(A209,CHAR(13),""),FIND(CHAR(10),SUBSTITUTE(A209,CHAR(13),"")&amp;CHAR(10))-1)))))-LEN(SUBSTITUTE(LEFT((" "&amp;LEFT(SUBSTITUTE(A209,CHAR(13),""),FIND(CHAR(10),SUBSTITUTE(A209,CHAR(13),"")&amp;CHAR(10))-1)),FIND(".",(" "&amp;LEFT(SUBSTITUTE(A209,CHAR(13),""),FIND(CHAR(10),SUBSTITUTE(A209,CHAR(13),"")&amp;CHAR(10))-1))))," ",""))))+1)),""))</f>
        <v/>
      </c>
    </row>
    <row r="210" customFormat="false" ht="30" hidden="false" customHeight="true" outlineLevel="0" collapsed="false">
      <c r="A210" s="11" t="str">
        <f aca="false">IFERROR(INDEX(Pegar!$A$3:$A$1002,MATCH(206,Pegar!$B$3:$B$1002,0))&amp;IF(LEFT(INDEX(Pegar!$A$3:$A$1003,MATCH(206,Pegar!$B$3:$B$1002,0)+1),5)="DESC=",CHAR(10)&amp;INDEX(Pegar!$A$3:$A$1003,MATCH(206,Pegar!$B$3:$B$1002,0)+1),""),"")</f>
        <v/>
      </c>
      <c r="B210" s="12" t="str">
        <f aca="false">IF(TRIM(A210)="","",IFERROR(MID(SUBSTITUTE(SUBSTITUTE(A210,CHAR(10)," "),CHAR(13)," "),FIND(" MT"," "&amp;SUBSTITUTE(SUBSTITUTE(A210,CHAR(10)," "),CHAR(13)," ")),FIND(" ",SUBSTITUTE(SUBSTITUTE(A210,CHAR(10)," "),CHAR(13)," ")&amp;" ",FIND(" MT"," "&amp;SUBSTITUTE(SUBSTITUTE(A210,CHAR(10)," "),CHAR(13)," ")))-FIND(" MT"," "&amp;SUBSTITUTE(SUBSTITUTE(A210,CHAR(10)," "),CHAR(13)," "))),"MT no encontrado"))</f>
        <v/>
      </c>
      <c r="C210" s="15" t="str">
        <f aca="false">IF(TRIM(A210)="","",IF(D210="",FALSE(),SUBSTITUTE(SUBSTITUTE(SUBSTITUTE(D210,".",""),"0",""),"-","")&lt;&gt;""))</f>
        <v/>
      </c>
      <c r="D210" s="14" t="str">
        <f aca="false">IF(TRIM(A210)="","",IFERROR(MID((" "&amp;LEFT(SUBSTITUTE(A210,CHAR(13),""),FIND(CHAR(10),SUBSTITUTE(A210,CHAR(13),"")&amp;CHAR(10))-1)),(FIND("~",SUBSTITUTE(LEFT((" "&amp;LEFT(SUBSTITUTE(A210,CHAR(13),""),FIND(CHAR(10),SUBSTITUTE(A210,CHAR(13),"")&amp;CHAR(10))-1)),FIND(".",(" "&amp;LEFT(SUBSTITUTE(A210,CHAR(13),""),FIND(CHAR(10),SUBSTITUTE(A210,CHAR(13),"")&amp;CHAR(10))-1))))," ","~",LEN(LEFT((" "&amp;LEFT(SUBSTITUTE(A210,CHAR(13),""),FIND(CHAR(10),SUBSTITUTE(A210,CHAR(13),"")&amp;CHAR(10))-1)),FIND(".",(" "&amp;LEFT(SUBSTITUTE(A210,CHAR(13),""),FIND(CHAR(10),SUBSTITUTE(A210,CHAR(13),"")&amp;CHAR(10))-1)))))-LEN(SUBSTITUTE(LEFT((" "&amp;LEFT(SUBSTITUTE(A210,CHAR(13),""),FIND(CHAR(10),SUBSTITUTE(A210,CHAR(13),"")&amp;CHAR(10))-1)),FIND(".",(" "&amp;LEFT(SUBSTITUTE(A210,CHAR(13),""),FIND(CHAR(10),SUBSTITUTE(A210,CHAR(13),"")&amp;CHAR(10))-1))))," ",""))))+1),FIND(" ",(" "&amp;LEFT(SUBSTITUTE(A210,CHAR(13),""),FIND(CHAR(10),SUBSTITUTE(A210,CHAR(13),"")&amp;CHAR(10))-1))&amp;" ",FIND(".",(" "&amp;LEFT(SUBSTITUTE(A210,CHAR(13),""),FIND(CHAR(10),SUBSTITUTE(A210,CHAR(13),"")&amp;CHAR(10))-1))))-(FIND("~",SUBSTITUTE(LEFT((" "&amp;LEFT(SUBSTITUTE(A210,CHAR(13),""),FIND(CHAR(10),SUBSTITUTE(A210,CHAR(13),"")&amp;CHAR(10))-1)),FIND(".",(" "&amp;LEFT(SUBSTITUTE(A210,CHAR(13),""),FIND(CHAR(10),SUBSTITUTE(A210,CHAR(13),"")&amp;CHAR(10))-1))))," ","~",LEN(LEFT((" "&amp;LEFT(SUBSTITUTE(A210,CHAR(13),""),FIND(CHAR(10),SUBSTITUTE(A210,CHAR(13),"")&amp;CHAR(10))-1)),FIND(".",(" "&amp;LEFT(SUBSTITUTE(A210,CHAR(13),""),FIND(CHAR(10),SUBSTITUTE(A210,CHAR(13),"")&amp;CHAR(10))-1)))))-LEN(SUBSTITUTE(LEFT((" "&amp;LEFT(SUBSTITUTE(A210,CHAR(13),""),FIND(CHAR(10),SUBSTITUTE(A210,CHAR(13),"")&amp;CHAR(10))-1)),FIND(".",(" "&amp;LEFT(SUBSTITUTE(A210,CHAR(13),""),FIND(CHAR(10),SUBSTITUTE(A210,CHAR(13),"")&amp;CHAR(10))-1))))," ",""))))+1)),""))</f>
        <v/>
      </c>
    </row>
    <row r="211" customFormat="false" ht="30" hidden="false" customHeight="true" outlineLevel="0" collapsed="false">
      <c r="A211" s="11" t="str">
        <f aca="false">IFERROR(INDEX(Pegar!$A$3:$A$1002,MATCH(207,Pegar!$B$3:$B$1002,0))&amp;IF(LEFT(INDEX(Pegar!$A$3:$A$1003,MATCH(207,Pegar!$B$3:$B$1002,0)+1),5)="DESC=",CHAR(10)&amp;INDEX(Pegar!$A$3:$A$1003,MATCH(207,Pegar!$B$3:$B$1002,0)+1),""),"")</f>
        <v/>
      </c>
      <c r="B211" s="12" t="str">
        <f aca="false">IF(TRIM(A211)="","",IFERROR(MID(SUBSTITUTE(SUBSTITUTE(A211,CHAR(10)," "),CHAR(13)," "),FIND(" MT"," "&amp;SUBSTITUTE(SUBSTITUTE(A211,CHAR(10)," "),CHAR(13)," ")),FIND(" ",SUBSTITUTE(SUBSTITUTE(A211,CHAR(10)," "),CHAR(13)," ")&amp;" ",FIND(" MT"," "&amp;SUBSTITUTE(SUBSTITUTE(A211,CHAR(10)," "),CHAR(13)," ")))-FIND(" MT"," "&amp;SUBSTITUTE(SUBSTITUTE(A211,CHAR(10)," "),CHAR(13)," "))),"MT no encontrado"))</f>
        <v/>
      </c>
      <c r="C211" s="15" t="str">
        <f aca="false">IF(TRIM(A211)="","",IF(D211="",FALSE(),SUBSTITUTE(SUBSTITUTE(SUBSTITUTE(D211,".",""),"0",""),"-","")&lt;&gt;""))</f>
        <v/>
      </c>
      <c r="D211" s="14" t="str">
        <f aca="false">IF(TRIM(A211)="","",IFERROR(MID((" "&amp;LEFT(SUBSTITUTE(A211,CHAR(13),""),FIND(CHAR(10),SUBSTITUTE(A211,CHAR(13),"")&amp;CHAR(10))-1)),(FIND("~",SUBSTITUTE(LEFT((" "&amp;LEFT(SUBSTITUTE(A211,CHAR(13),""),FIND(CHAR(10),SUBSTITUTE(A211,CHAR(13),"")&amp;CHAR(10))-1)),FIND(".",(" "&amp;LEFT(SUBSTITUTE(A211,CHAR(13),""),FIND(CHAR(10),SUBSTITUTE(A211,CHAR(13),"")&amp;CHAR(10))-1))))," ","~",LEN(LEFT((" "&amp;LEFT(SUBSTITUTE(A211,CHAR(13),""),FIND(CHAR(10),SUBSTITUTE(A211,CHAR(13),"")&amp;CHAR(10))-1)),FIND(".",(" "&amp;LEFT(SUBSTITUTE(A211,CHAR(13),""),FIND(CHAR(10),SUBSTITUTE(A211,CHAR(13),"")&amp;CHAR(10))-1)))))-LEN(SUBSTITUTE(LEFT((" "&amp;LEFT(SUBSTITUTE(A211,CHAR(13),""),FIND(CHAR(10),SUBSTITUTE(A211,CHAR(13),"")&amp;CHAR(10))-1)),FIND(".",(" "&amp;LEFT(SUBSTITUTE(A211,CHAR(13),""),FIND(CHAR(10),SUBSTITUTE(A211,CHAR(13),"")&amp;CHAR(10))-1))))," ",""))))+1),FIND(" ",(" "&amp;LEFT(SUBSTITUTE(A211,CHAR(13),""),FIND(CHAR(10),SUBSTITUTE(A211,CHAR(13),"")&amp;CHAR(10))-1))&amp;" ",FIND(".",(" "&amp;LEFT(SUBSTITUTE(A211,CHAR(13),""),FIND(CHAR(10),SUBSTITUTE(A211,CHAR(13),"")&amp;CHAR(10))-1))))-(FIND("~",SUBSTITUTE(LEFT((" "&amp;LEFT(SUBSTITUTE(A211,CHAR(13),""),FIND(CHAR(10),SUBSTITUTE(A211,CHAR(13),"")&amp;CHAR(10))-1)),FIND(".",(" "&amp;LEFT(SUBSTITUTE(A211,CHAR(13),""),FIND(CHAR(10),SUBSTITUTE(A211,CHAR(13),"")&amp;CHAR(10))-1))))," ","~",LEN(LEFT((" "&amp;LEFT(SUBSTITUTE(A211,CHAR(13),""),FIND(CHAR(10),SUBSTITUTE(A211,CHAR(13),"")&amp;CHAR(10))-1)),FIND(".",(" "&amp;LEFT(SUBSTITUTE(A211,CHAR(13),""),FIND(CHAR(10),SUBSTITUTE(A211,CHAR(13),"")&amp;CHAR(10))-1)))))-LEN(SUBSTITUTE(LEFT((" "&amp;LEFT(SUBSTITUTE(A211,CHAR(13),""),FIND(CHAR(10),SUBSTITUTE(A211,CHAR(13),"")&amp;CHAR(10))-1)),FIND(".",(" "&amp;LEFT(SUBSTITUTE(A211,CHAR(13),""),FIND(CHAR(10),SUBSTITUTE(A211,CHAR(13),"")&amp;CHAR(10))-1))))," ",""))))+1)),""))</f>
        <v/>
      </c>
    </row>
    <row r="212" customFormat="false" ht="30" hidden="false" customHeight="true" outlineLevel="0" collapsed="false">
      <c r="A212" s="11" t="str">
        <f aca="false">IFERROR(INDEX(Pegar!$A$3:$A$1002,MATCH(208,Pegar!$B$3:$B$1002,0))&amp;IF(LEFT(INDEX(Pegar!$A$3:$A$1003,MATCH(208,Pegar!$B$3:$B$1002,0)+1),5)="DESC=",CHAR(10)&amp;INDEX(Pegar!$A$3:$A$1003,MATCH(208,Pegar!$B$3:$B$1002,0)+1),""),"")</f>
        <v/>
      </c>
      <c r="B212" s="12" t="str">
        <f aca="false">IF(TRIM(A212)="","",IFERROR(MID(SUBSTITUTE(SUBSTITUTE(A212,CHAR(10)," "),CHAR(13)," "),FIND(" MT"," "&amp;SUBSTITUTE(SUBSTITUTE(A212,CHAR(10)," "),CHAR(13)," ")),FIND(" ",SUBSTITUTE(SUBSTITUTE(A212,CHAR(10)," "),CHAR(13)," ")&amp;" ",FIND(" MT"," "&amp;SUBSTITUTE(SUBSTITUTE(A212,CHAR(10)," "),CHAR(13)," ")))-FIND(" MT"," "&amp;SUBSTITUTE(SUBSTITUTE(A212,CHAR(10)," "),CHAR(13)," "))),"MT no encontrado"))</f>
        <v/>
      </c>
      <c r="C212" s="15" t="str">
        <f aca="false">IF(TRIM(A212)="","",IF(D212="",FALSE(),SUBSTITUTE(SUBSTITUTE(SUBSTITUTE(D212,".",""),"0",""),"-","")&lt;&gt;""))</f>
        <v/>
      </c>
      <c r="D212" s="14" t="str">
        <f aca="false">IF(TRIM(A212)="","",IFERROR(MID((" "&amp;LEFT(SUBSTITUTE(A212,CHAR(13),""),FIND(CHAR(10),SUBSTITUTE(A212,CHAR(13),"")&amp;CHAR(10))-1)),(FIND("~",SUBSTITUTE(LEFT((" "&amp;LEFT(SUBSTITUTE(A212,CHAR(13),""),FIND(CHAR(10),SUBSTITUTE(A212,CHAR(13),"")&amp;CHAR(10))-1)),FIND(".",(" "&amp;LEFT(SUBSTITUTE(A212,CHAR(13),""),FIND(CHAR(10),SUBSTITUTE(A212,CHAR(13),"")&amp;CHAR(10))-1))))," ","~",LEN(LEFT((" "&amp;LEFT(SUBSTITUTE(A212,CHAR(13),""),FIND(CHAR(10),SUBSTITUTE(A212,CHAR(13),"")&amp;CHAR(10))-1)),FIND(".",(" "&amp;LEFT(SUBSTITUTE(A212,CHAR(13),""),FIND(CHAR(10),SUBSTITUTE(A212,CHAR(13),"")&amp;CHAR(10))-1)))))-LEN(SUBSTITUTE(LEFT((" "&amp;LEFT(SUBSTITUTE(A212,CHAR(13),""),FIND(CHAR(10),SUBSTITUTE(A212,CHAR(13),"")&amp;CHAR(10))-1)),FIND(".",(" "&amp;LEFT(SUBSTITUTE(A212,CHAR(13),""),FIND(CHAR(10),SUBSTITUTE(A212,CHAR(13),"")&amp;CHAR(10))-1))))," ",""))))+1),FIND(" ",(" "&amp;LEFT(SUBSTITUTE(A212,CHAR(13),""),FIND(CHAR(10),SUBSTITUTE(A212,CHAR(13),"")&amp;CHAR(10))-1))&amp;" ",FIND(".",(" "&amp;LEFT(SUBSTITUTE(A212,CHAR(13),""),FIND(CHAR(10),SUBSTITUTE(A212,CHAR(13),"")&amp;CHAR(10))-1))))-(FIND("~",SUBSTITUTE(LEFT((" "&amp;LEFT(SUBSTITUTE(A212,CHAR(13),""),FIND(CHAR(10),SUBSTITUTE(A212,CHAR(13),"")&amp;CHAR(10))-1)),FIND(".",(" "&amp;LEFT(SUBSTITUTE(A212,CHAR(13),""),FIND(CHAR(10),SUBSTITUTE(A212,CHAR(13),"")&amp;CHAR(10))-1))))," ","~",LEN(LEFT((" "&amp;LEFT(SUBSTITUTE(A212,CHAR(13),""),FIND(CHAR(10),SUBSTITUTE(A212,CHAR(13),"")&amp;CHAR(10))-1)),FIND(".",(" "&amp;LEFT(SUBSTITUTE(A212,CHAR(13),""),FIND(CHAR(10),SUBSTITUTE(A212,CHAR(13),"")&amp;CHAR(10))-1)))))-LEN(SUBSTITUTE(LEFT((" "&amp;LEFT(SUBSTITUTE(A212,CHAR(13),""),FIND(CHAR(10),SUBSTITUTE(A212,CHAR(13),"")&amp;CHAR(10))-1)),FIND(".",(" "&amp;LEFT(SUBSTITUTE(A212,CHAR(13),""),FIND(CHAR(10),SUBSTITUTE(A212,CHAR(13),"")&amp;CHAR(10))-1))))," ",""))))+1)),""))</f>
        <v/>
      </c>
    </row>
    <row r="213" customFormat="false" ht="30" hidden="false" customHeight="true" outlineLevel="0" collapsed="false">
      <c r="A213" s="11" t="str">
        <f aca="false">IFERROR(INDEX(Pegar!$A$3:$A$1002,MATCH(209,Pegar!$B$3:$B$1002,0))&amp;IF(LEFT(INDEX(Pegar!$A$3:$A$1003,MATCH(209,Pegar!$B$3:$B$1002,0)+1),5)="DESC=",CHAR(10)&amp;INDEX(Pegar!$A$3:$A$1003,MATCH(209,Pegar!$B$3:$B$1002,0)+1),""),"")</f>
        <v/>
      </c>
      <c r="B213" s="12" t="str">
        <f aca="false">IF(TRIM(A213)="","",IFERROR(MID(SUBSTITUTE(SUBSTITUTE(A213,CHAR(10)," "),CHAR(13)," "),FIND(" MT"," "&amp;SUBSTITUTE(SUBSTITUTE(A213,CHAR(10)," "),CHAR(13)," ")),FIND(" ",SUBSTITUTE(SUBSTITUTE(A213,CHAR(10)," "),CHAR(13)," ")&amp;" ",FIND(" MT"," "&amp;SUBSTITUTE(SUBSTITUTE(A213,CHAR(10)," "),CHAR(13)," ")))-FIND(" MT"," "&amp;SUBSTITUTE(SUBSTITUTE(A213,CHAR(10)," "),CHAR(13)," "))),"MT no encontrado"))</f>
        <v/>
      </c>
      <c r="C213" s="15" t="str">
        <f aca="false">IF(TRIM(A213)="","",IF(D213="",FALSE(),SUBSTITUTE(SUBSTITUTE(SUBSTITUTE(D213,".",""),"0",""),"-","")&lt;&gt;""))</f>
        <v/>
      </c>
      <c r="D213" s="14" t="str">
        <f aca="false">IF(TRIM(A213)="","",IFERROR(MID((" "&amp;LEFT(SUBSTITUTE(A213,CHAR(13),""),FIND(CHAR(10),SUBSTITUTE(A213,CHAR(13),"")&amp;CHAR(10))-1)),(FIND("~",SUBSTITUTE(LEFT((" "&amp;LEFT(SUBSTITUTE(A213,CHAR(13),""),FIND(CHAR(10),SUBSTITUTE(A213,CHAR(13),"")&amp;CHAR(10))-1)),FIND(".",(" "&amp;LEFT(SUBSTITUTE(A213,CHAR(13),""),FIND(CHAR(10),SUBSTITUTE(A213,CHAR(13),"")&amp;CHAR(10))-1))))," ","~",LEN(LEFT((" "&amp;LEFT(SUBSTITUTE(A213,CHAR(13),""),FIND(CHAR(10),SUBSTITUTE(A213,CHAR(13),"")&amp;CHAR(10))-1)),FIND(".",(" "&amp;LEFT(SUBSTITUTE(A213,CHAR(13),""),FIND(CHAR(10),SUBSTITUTE(A213,CHAR(13),"")&amp;CHAR(10))-1)))))-LEN(SUBSTITUTE(LEFT((" "&amp;LEFT(SUBSTITUTE(A213,CHAR(13),""),FIND(CHAR(10),SUBSTITUTE(A213,CHAR(13),"")&amp;CHAR(10))-1)),FIND(".",(" "&amp;LEFT(SUBSTITUTE(A213,CHAR(13),""),FIND(CHAR(10),SUBSTITUTE(A213,CHAR(13),"")&amp;CHAR(10))-1))))," ",""))))+1),FIND(" ",(" "&amp;LEFT(SUBSTITUTE(A213,CHAR(13),""),FIND(CHAR(10),SUBSTITUTE(A213,CHAR(13),"")&amp;CHAR(10))-1))&amp;" ",FIND(".",(" "&amp;LEFT(SUBSTITUTE(A213,CHAR(13),""),FIND(CHAR(10),SUBSTITUTE(A213,CHAR(13),"")&amp;CHAR(10))-1))))-(FIND("~",SUBSTITUTE(LEFT((" "&amp;LEFT(SUBSTITUTE(A213,CHAR(13),""),FIND(CHAR(10),SUBSTITUTE(A213,CHAR(13),"")&amp;CHAR(10))-1)),FIND(".",(" "&amp;LEFT(SUBSTITUTE(A213,CHAR(13),""),FIND(CHAR(10),SUBSTITUTE(A213,CHAR(13),"")&amp;CHAR(10))-1))))," ","~",LEN(LEFT((" "&amp;LEFT(SUBSTITUTE(A213,CHAR(13),""),FIND(CHAR(10),SUBSTITUTE(A213,CHAR(13),"")&amp;CHAR(10))-1)),FIND(".",(" "&amp;LEFT(SUBSTITUTE(A213,CHAR(13),""),FIND(CHAR(10),SUBSTITUTE(A213,CHAR(13),"")&amp;CHAR(10))-1)))))-LEN(SUBSTITUTE(LEFT((" "&amp;LEFT(SUBSTITUTE(A213,CHAR(13),""),FIND(CHAR(10),SUBSTITUTE(A213,CHAR(13),"")&amp;CHAR(10))-1)),FIND(".",(" "&amp;LEFT(SUBSTITUTE(A213,CHAR(13),""),FIND(CHAR(10),SUBSTITUTE(A213,CHAR(13),"")&amp;CHAR(10))-1))))," ",""))))+1)),""))</f>
        <v/>
      </c>
    </row>
    <row r="214" customFormat="false" ht="30" hidden="false" customHeight="true" outlineLevel="0" collapsed="false">
      <c r="A214" s="11" t="str">
        <f aca="false">IFERROR(INDEX(Pegar!$A$3:$A$1002,MATCH(210,Pegar!$B$3:$B$1002,0))&amp;IF(LEFT(INDEX(Pegar!$A$3:$A$1003,MATCH(210,Pegar!$B$3:$B$1002,0)+1),5)="DESC=",CHAR(10)&amp;INDEX(Pegar!$A$3:$A$1003,MATCH(210,Pegar!$B$3:$B$1002,0)+1),""),"")</f>
        <v/>
      </c>
      <c r="B214" s="12" t="str">
        <f aca="false">IF(TRIM(A214)="","",IFERROR(MID(SUBSTITUTE(SUBSTITUTE(A214,CHAR(10)," "),CHAR(13)," "),FIND(" MT"," "&amp;SUBSTITUTE(SUBSTITUTE(A214,CHAR(10)," "),CHAR(13)," ")),FIND(" ",SUBSTITUTE(SUBSTITUTE(A214,CHAR(10)," "),CHAR(13)," ")&amp;" ",FIND(" MT"," "&amp;SUBSTITUTE(SUBSTITUTE(A214,CHAR(10)," "),CHAR(13)," ")))-FIND(" MT"," "&amp;SUBSTITUTE(SUBSTITUTE(A214,CHAR(10)," "),CHAR(13)," "))),"MT no encontrado"))</f>
        <v/>
      </c>
      <c r="C214" s="15" t="str">
        <f aca="false">IF(TRIM(A214)="","",IF(D214="",FALSE(),SUBSTITUTE(SUBSTITUTE(SUBSTITUTE(D214,".",""),"0",""),"-","")&lt;&gt;""))</f>
        <v/>
      </c>
      <c r="D214" s="14" t="str">
        <f aca="false">IF(TRIM(A214)="","",IFERROR(MID((" "&amp;LEFT(SUBSTITUTE(A214,CHAR(13),""),FIND(CHAR(10),SUBSTITUTE(A214,CHAR(13),"")&amp;CHAR(10))-1)),(FIND("~",SUBSTITUTE(LEFT((" "&amp;LEFT(SUBSTITUTE(A214,CHAR(13),""),FIND(CHAR(10),SUBSTITUTE(A214,CHAR(13),"")&amp;CHAR(10))-1)),FIND(".",(" "&amp;LEFT(SUBSTITUTE(A214,CHAR(13),""),FIND(CHAR(10),SUBSTITUTE(A214,CHAR(13),"")&amp;CHAR(10))-1))))," ","~",LEN(LEFT((" "&amp;LEFT(SUBSTITUTE(A214,CHAR(13),""),FIND(CHAR(10),SUBSTITUTE(A214,CHAR(13),"")&amp;CHAR(10))-1)),FIND(".",(" "&amp;LEFT(SUBSTITUTE(A214,CHAR(13),""),FIND(CHAR(10),SUBSTITUTE(A214,CHAR(13),"")&amp;CHAR(10))-1)))))-LEN(SUBSTITUTE(LEFT((" "&amp;LEFT(SUBSTITUTE(A214,CHAR(13),""),FIND(CHAR(10),SUBSTITUTE(A214,CHAR(13),"")&amp;CHAR(10))-1)),FIND(".",(" "&amp;LEFT(SUBSTITUTE(A214,CHAR(13),""),FIND(CHAR(10),SUBSTITUTE(A214,CHAR(13),"")&amp;CHAR(10))-1))))," ",""))))+1),FIND(" ",(" "&amp;LEFT(SUBSTITUTE(A214,CHAR(13),""),FIND(CHAR(10),SUBSTITUTE(A214,CHAR(13),"")&amp;CHAR(10))-1))&amp;" ",FIND(".",(" "&amp;LEFT(SUBSTITUTE(A214,CHAR(13),""),FIND(CHAR(10),SUBSTITUTE(A214,CHAR(13),"")&amp;CHAR(10))-1))))-(FIND("~",SUBSTITUTE(LEFT((" "&amp;LEFT(SUBSTITUTE(A214,CHAR(13),""),FIND(CHAR(10),SUBSTITUTE(A214,CHAR(13),"")&amp;CHAR(10))-1)),FIND(".",(" "&amp;LEFT(SUBSTITUTE(A214,CHAR(13),""),FIND(CHAR(10),SUBSTITUTE(A214,CHAR(13),"")&amp;CHAR(10))-1))))," ","~",LEN(LEFT((" "&amp;LEFT(SUBSTITUTE(A214,CHAR(13),""),FIND(CHAR(10),SUBSTITUTE(A214,CHAR(13),"")&amp;CHAR(10))-1)),FIND(".",(" "&amp;LEFT(SUBSTITUTE(A214,CHAR(13),""),FIND(CHAR(10),SUBSTITUTE(A214,CHAR(13),"")&amp;CHAR(10))-1)))))-LEN(SUBSTITUTE(LEFT((" "&amp;LEFT(SUBSTITUTE(A214,CHAR(13),""),FIND(CHAR(10),SUBSTITUTE(A214,CHAR(13),"")&amp;CHAR(10))-1)),FIND(".",(" "&amp;LEFT(SUBSTITUTE(A214,CHAR(13),""),FIND(CHAR(10),SUBSTITUTE(A214,CHAR(13),"")&amp;CHAR(10))-1))))," ",""))))+1)),""))</f>
        <v/>
      </c>
    </row>
    <row r="215" customFormat="false" ht="30" hidden="false" customHeight="true" outlineLevel="0" collapsed="false">
      <c r="A215" s="11" t="str">
        <f aca="false">IFERROR(INDEX(Pegar!$A$3:$A$1002,MATCH(211,Pegar!$B$3:$B$1002,0))&amp;IF(LEFT(INDEX(Pegar!$A$3:$A$1003,MATCH(211,Pegar!$B$3:$B$1002,0)+1),5)="DESC=",CHAR(10)&amp;INDEX(Pegar!$A$3:$A$1003,MATCH(211,Pegar!$B$3:$B$1002,0)+1),""),"")</f>
        <v/>
      </c>
      <c r="B215" s="12" t="str">
        <f aca="false">IF(TRIM(A215)="","",IFERROR(MID(SUBSTITUTE(SUBSTITUTE(A215,CHAR(10)," "),CHAR(13)," "),FIND(" MT"," "&amp;SUBSTITUTE(SUBSTITUTE(A215,CHAR(10)," "),CHAR(13)," ")),FIND(" ",SUBSTITUTE(SUBSTITUTE(A215,CHAR(10)," "),CHAR(13)," ")&amp;" ",FIND(" MT"," "&amp;SUBSTITUTE(SUBSTITUTE(A215,CHAR(10)," "),CHAR(13)," ")))-FIND(" MT"," "&amp;SUBSTITUTE(SUBSTITUTE(A215,CHAR(10)," "),CHAR(13)," "))),"MT no encontrado"))</f>
        <v/>
      </c>
      <c r="C215" s="15" t="str">
        <f aca="false">IF(TRIM(A215)="","",IF(D215="",FALSE(),SUBSTITUTE(SUBSTITUTE(SUBSTITUTE(D215,".",""),"0",""),"-","")&lt;&gt;""))</f>
        <v/>
      </c>
      <c r="D215" s="14" t="str">
        <f aca="false">IF(TRIM(A215)="","",IFERROR(MID((" "&amp;LEFT(SUBSTITUTE(A215,CHAR(13),""),FIND(CHAR(10),SUBSTITUTE(A215,CHAR(13),"")&amp;CHAR(10))-1)),(FIND("~",SUBSTITUTE(LEFT((" "&amp;LEFT(SUBSTITUTE(A215,CHAR(13),""),FIND(CHAR(10),SUBSTITUTE(A215,CHAR(13),"")&amp;CHAR(10))-1)),FIND(".",(" "&amp;LEFT(SUBSTITUTE(A215,CHAR(13),""),FIND(CHAR(10),SUBSTITUTE(A215,CHAR(13),"")&amp;CHAR(10))-1))))," ","~",LEN(LEFT((" "&amp;LEFT(SUBSTITUTE(A215,CHAR(13),""),FIND(CHAR(10),SUBSTITUTE(A215,CHAR(13),"")&amp;CHAR(10))-1)),FIND(".",(" "&amp;LEFT(SUBSTITUTE(A215,CHAR(13),""),FIND(CHAR(10),SUBSTITUTE(A215,CHAR(13),"")&amp;CHAR(10))-1)))))-LEN(SUBSTITUTE(LEFT((" "&amp;LEFT(SUBSTITUTE(A215,CHAR(13),""),FIND(CHAR(10),SUBSTITUTE(A215,CHAR(13),"")&amp;CHAR(10))-1)),FIND(".",(" "&amp;LEFT(SUBSTITUTE(A215,CHAR(13),""),FIND(CHAR(10),SUBSTITUTE(A215,CHAR(13),"")&amp;CHAR(10))-1))))," ",""))))+1),FIND(" ",(" "&amp;LEFT(SUBSTITUTE(A215,CHAR(13),""),FIND(CHAR(10),SUBSTITUTE(A215,CHAR(13),"")&amp;CHAR(10))-1))&amp;" ",FIND(".",(" "&amp;LEFT(SUBSTITUTE(A215,CHAR(13),""),FIND(CHAR(10),SUBSTITUTE(A215,CHAR(13),"")&amp;CHAR(10))-1))))-(FIND("~",SUBSTITUTE(LEFT((" "&amp;LEFT(SUBSTITUTE(A215,CHAR(13),""),FIND(CHAR(10),SUBSTITUTE(A215,CHAR(13),"")&amp;CHAR(10))-1)),FIND(".",(" "&amp;LEFT(SUBSTITUTE(A215,CHAR(13),""),FIND(CHAR(10),SUBSTITUTE(A215,CHAR(13),"")&amp;CHAR(10))-1))))," ","~",LEN(LEFT((" "&amp;LEFT(SUBSTITUTE(A215,CHAR(13),""),FIND(CHAR(10),SUBSTITUTE(A215,CHAR(13),"")&amp;CHAR(10))-1)),FIND(".",(" "&amp;LEFT(SUBSTITUTE(A215,CHAR(13),""),FIND(CHAR(10),SUBSTITUTE(A215,CHAR(13),"")&amp;CHAR(10))-1)))))-LEN(SUBSTITUTE(LEFT((" "&amp;LEFT(SUBSTITUTE(A215,CHAR(13),""),FIND(CHAR(10),SUBSTITUTE(A215,CHAR(13),"")&amp;CHAR(10))-1)),FIND(".",(" "&amp;LEFT(SUBSTITUTE(A215,CHAR(13),""),FIND(CHAR(10),SUBSTITUTE(A215,CHAR(13),"")&amp;CHAR(10))-1))))," ",""))))+1)),""))</f>
        <v/>
      </c>
    </row>
    <row r="216" customFormat="false" ht="30" hidden="false" customHeight="true" outlineLevel="0" collapsed="false">
      <c r="A216" s="11" t="str">
        <f aca="false">IFERROR(INDEX(Pegar!$A$3:$A$1002,MATCH(212,Pegar!$B$3:$B$1002,0))&amp;IF(LEFT(INDEX(Pegar!$A$3:$A$1003,MATCH(212,Pegar!$B$3:$B$1002,0)+1),5)="DESC=",CHAR(10)&amp;INDEX(Pegar!$A$3:$A$1003,MATCH(212,Pegar!$B$3:$B$1002,0)+1),""),"")</f>
        <v/>
      </c>
      <c r="B216" s="12" t="str">
        <f aca="false">IF(TRIM(A216)="","",IFERROR(MID(SUBSTITUTE(SUBSTITUTE(A216,CHAR(10)," "),CHAR(13)," "),FIND(" MT"," "&amp;SUBSTITUTE(SUBSTITUTE(A216,CHAR(10)," "),CHAR(13)," ")),FIND(" ",SUBSTITUTE(SUBSTITUTE(A216,CHAR(10)," "),CHAR(13)," ")&amp;" ",FIND(" MT"," "&amp;SUBSTITUTE(SUBSTITUTE(A216,CHAR(10)," "),CHAR(13)," ")))-FIND(" MT"," "&amp;SUBSTITUTE(SUBSTITUTE(A216,CHAR(10)," "),CHAR(13)," "))),"MT no encontrado"))</f>
        <v/>
      </c>
      <c r="C216" s="15" t="str">
        <f aca="false">IF(TRIM(A216)="","",IF(D216="",FALSE(),SUBSTITUTE(SUBSTITUTE(SUBSTITUTE(D216,".",""),"0",""),"-","")&lt;&gt;""))</f>
        <v/>
      </c>
      <c r="D216" s="14" t="str">
        <f aca="false">IF(TRIM(A216)="","",IFERROR(MID((" "&amp;LEFT(SUBSTITUTE(A216,CHAR(13),""),FIND(CHAR(10),SUBSTITUTE(A216,CHAR(13),"")&amp;CHAR(10))-1)),(FIND("~",SUBSTITUTE(LEFT((" "&amp;LEFT(SUBSTITUTE(A216,CHAR(13),""),FIND(CHAR(10),SUBSTITUTE(A216,CHAR(13),"")&amp;CHAR(10))-1)),FIND(".",(" "&amp;LEFT(SUBSTITUTE(A216,CHAR(13),""),FIND(CHAR(10),SUBSTITUTE(A216,CHAR(13),"")&amp;CHAR(10))-1))))," ","~",LEN(LEFT((" "&amp;LEFT(SUBSTITUTE(A216,CHAR(13),""),FIND(CHAR(10),SUBSTITUTE(A216,CHAR(13),"")&amp;CHAR(10))-1)),FIND(".",(" "&amp;LEFT(SUBSTITUTE(A216,CHAR(13),""),FIND(CHAR(10),SUBSTITUTE(A216,CHAR(13),"")&amp;CHAR(10))-1)))))-LEN(SUBSTITUTE(LEFT((" "&amp;LEFT(SUBSTITUTE(A216,CHAR(13),""),FIND(CHAR(10),SUBSTITUTE(A216,CHAR(13),"")&amp;CHAR(10))-1)),FIND(".",(" "&amp;LEFT(SUBSTITUTE(A216,CHAR(13),""),FIND(CHAR(10),SUBSTITUTE(A216,CHAR(13),"")&amp;CHAR(10))-1))))," ",""))))+1),FIND(" ",(" "&amp;LEFT(SUBSTITUTE(A216,CHAR(13),""),FIND(CHAR(10),SUBSTITUTE(A216,CHAR(13),"")&amp;CHAR(10))-1))&amp;" ",FIND(".",(" "&amp;LEFT(SUBSTITUTE(A216,CHAR(13),""),FIND(CHAR(10),SUBSTITUTE(A216,CHAR(13),"")&amp;CHAR(10))-1))))-(FIND("~",SUBSTITUTE(LEFT((" "&amp;LEFT(SUBSTITUTE(A216,CHAR(13),""),FIND(CHAR(10),SUBSTITUTE(A216,CHAR(13),"")&amp;CHAR(10))-1)),FIND(".",(" "&amp;LEFT(SUBSTITUTE(A216,CHAR(13),""),FIND(CHAR(10),SUBSTITUTE(A216,CHAR(13),"")&amp;CHAR(10))-1))))," ","~",LEN(LEFT((" "&amp;LEFT(SUBSTITUTE(A216,CHAR(13),""),FIND(CHAR(10),SUBSTITUTE(A216,CHAR(13),"")&amp;CHAR(10))-1)),FIND(".",(" "&amp;LEFT(SUBSTITUTE(A216,CHAR(13),""),FIND(CHAR(10),SUBSTITUTE(A216,CHAR(13),"")&amp;CHAR(10))-1)))))-LEN(SUBSTITUTE(LEFT((" "&amp;LEFT(SUBSTITUTE(A216,CHAR(13),""),FIND(CHAR(10),SUBSTITUTE(A216,CHAR(13),"")&amp;CHAR(10))-1)),FIND(".",(" "&amp;LEFT(SUBSTITUTE(A216,CHAR(13),""),FIND(CHAR(10),SUBSTITUTE(A216,CHAR(13),"")&amp;CHAR(10))-1))))," ",""))))+1)),""))</f>
        <v/>
      </c>
    </row>
    <row r="217" customFormat="false" ht="30" hidden="false" customHeight="true" outlineLevel="0" collapsed="false">
      <c r="A217" s="11" t="str">
        <f aca="false">IFERROR(INDEX(Pegar!$A$3:$A$1002,MATCH(213,Pegar!$B$3:$B$1002,0))&amp;IF(LEFT(INDEX(Pegar!$A$3:$A$1003,MATCH(213,Pegar!$B$3:$B$1002,0)+1),5)="DESC=",CHAR(10)&amp;INDEX(Pegar!$A$3:$A$1003,MATCH(213,Pegar!$B$3:$B$1002,0)+1),""),"")</f>
        <v/>
      </c>
      <c r="B217" s="12" t="str">
        <f aca="false">IF(TRIM(A217)="","",IFERROR(MID(SUBSTITUTE(SUBSTITUTE(A217,CHAR(10)," "),CHAR(13)," "),FIND(" MT"," "&amp;SUBSTITUTE(SUBSTITUTE(A217,CHAR(10)," "),CHAR(13)," ")),FIND(" ",SUBSTITUTE(SUBSTITUTE(A217,CHAR(10)," "),CHAR(13)," ")&amp;" ",FIND(" MT"," "&amp;SUBSTITUTE(SUBSTITUTE(A217,CHAR(10)," "),CHAR(13)," ")))-FIND(" MT"," "&amp;SUBSTITUTE(SUBSTITUTE(A217,CHAR(10)," "),CHAR(13)," "))),"MT no encontrado"))</f>
        <v/>
      </c>
      <c r="C217" s="15" t="str">
        <f aca="false">IF(TRIM(A217)="","",IF(D217="",FALSE(),SUBSTITUTE(SUBSTITUTE(SUBSTITUTE(D217,".",""),"0",""),"-","")&lt;&gt;""))</f>
        <v/>
      </c>
      <c r="D217" s="14" t="str">
        <f aca="false">IF(TRIM(A217)="","",IFERROR(MID((" "&amp;LEFT(SUBSTITUTE(A217,CHAR(13),""),FIND(CHAR(10),SUBSTITUTE(A217,CHAR(13),"")&amp;CHAR(10))-1)),(FIND("~",SUBSTITUTE(LEFT((" "&amp;LEFT(SUBSTITUTE(A217,CHAR(13),""),FIND(CHAR(10),SUBSTITUTE(A217,CHAR(13),"")&amp;CHAR(10))-1)),FIND(".",(" "&amp;LEFT(SUBSTITUTE(A217,CHAR(13),""),FIND(CHAR(10),SUBSTITUTE(A217,CHAR(13),"")&amp;CHAR(10))-1))))," ","~",LEN(LEFT((" "&amp;LEFT(SUBSTITUTE(A217,CHAR(13),""),FIND(CHAR(10),SUBSTITUTE(A217,CHAR(13),"")&amp;CHAR(10))-1)),FIND(".",(" "&amp;LEFT(SUBSTITUTE(A217,CHAR(13),""),FIND(CHAR(10),SUBSTITUTE(A217,CHAR(13),"")&amp;CHAR(10))-1)))))-LEN(SUBSTITUTE(LEFT((" "&amp;LEFT(SUBSTITUTE(A217,CHAR(13),""),FIND(CHAR(10),SUBSTITUTE(A217,CHAR(13),"")&amp;CHAR(10))-1)),FIND(".",(" "&amp;LEFT(SUBSTITUTE(A217,CHAR(13),""),FIND(CHAR(10),SUBSTITUTE(A217,CHAR(13),"")&amp;CHAR(10))-1))))," ",""))))+1),FIND(" ",(" "&amp;LEFT(SUBSTITUTE(A217,CHAR(13),""),FIND(CHAR(10),SUBSTITUTE(A217,CHAR(13),"")&amp;CHAR(10))-1))&amp;" ",FIND(".",(" "&amp;LEFT(SUBSTITUTE(A217,CHAR(13),""),FIND(CHAR(10),SUBSTITUTE(A217,CHAR(13),"")&amp;CHAR(10))-1))))-(FIND("~",SUBSTITUTE(LEFT((" "&amp;LEFT(SUBSTITUTE(A217,CHAR(13),""),FIND(CHAR(10),SUBSTITUTE(A217,CHAR(13),"")&amp;CHAR(10))-1)),FIND(".",(" "&amp;LEFT(SUBSTITUTE(A217,CHAR(13),""),FIND(CHAR(10),SUBSTITUTE(A217,CHAR(13),"")&amp;CHAR(10))-1))))," ","~",LEN(LEFT((" "&amp;LEFT(SUBSTITUTE(A217,CHAR(13),""),FIND(CHAR(10),SUBSTITUTE(A217,CHAR(13),"")&amp;CHAR(10))-1)),FIND(".",(" "&amp;LEFT(SUBSTITUTE(A217,CHAR(13),""),FIND(CHAR(10),SUBSTITUTE(A217,CHAR(13),"")&amp;CHAR(10))-1)))))-LEN(SUBSTITUTE(LEFT((" "&amp;LEFT(SUBSTITUTE(A217,CHAR(13),""),FIND(CHAR(10),SUBSTITUTE(A217,CHAR(13),"")&amp;CHAR(10))-1)),FIND(".",(" "&amp;LEFT(SUBSTITUTE(A217,CHAR(13),""),FIND(CHAR(10),SUBSTITUTE(A217,CHAR(13),"")&amp;CHAR(10))-1))))," ",""))))+1)),""))</f>
        <v/>
      </c>
    </row>
    <row r="218" customFormat="false" ht="30" hidden="false" customHeight="true" outlineLevel="0" collapsed="false">
      <c r="A218" s="11" t="str">
        <f aca="false">IFERROR(INDEX(Pegar!$A$3:$A$1002,MATCH(214,Pegar!$B$3:$B$1002,0))&amp;IF(LEFT(INDEX(Pegar!$A$3:$A$1003,MATCH(214,Pegar!$B$3:$B$1002,0)+1),5)="DESC=",CHAR(10)&amp;INDEX(Pegar!$A$3:$A$1003,MATCH(214,Pegar!$B$3:$B$1002,0)+1),""),"")</f>
        <v/>
      </c>
      <c r="B218" s="12" t="str">
        <f aca="false">IF(TRIM(A218)="","",IFERROR(MID(SUBSTITUTE(SUBSTITUTE(A218,CHAR(10)," "),CHAR(13)," "),FIND(" MT"," "&amp;SUBSTITUTE(SUBSTITUTE(A218,CHAR(10)," "),CHAR(13)," ")),FIND(" ",SUBSTITUTE(SUBSTITUTE(A218,CHAR(10)," "),CHAR(13)," ")&amp;" ",FIND(" MT"," "&amp;SUBSTITUTE(SUBSTITUTE(A218,CHAR(10)," "),CHAR(13)," ")))-FIND(" MT"," "&amp;SUBSTITUTE(SUBSTITUTE(A218,CHAR(10)," "),CHAR(13)," "))),"MT no encontrado"))</f>
        <v/>
      </c>
      <c r="C218" s="15" t="str">
        <f aca="false">IF(TRIM(A218)="","",IF(D218="",FALSE(),SUBSTITUTE(SUBSTITUTE(SUBSTITUTE(D218,".",""),"0",""),"-","")&lt;&gt;""))</f>
        <v/>
      </c>
      <c r="D218" s="14" t="str">
        <f aca="false">IF(TRIM(A218)="","",IFERROR(MID((" "&amp;LEFT(SUBSTITUTE(A218,CHAR(13),""),FIND(CHAR(10),SUBSTITUTE(A218,CHAR(13),"")&amp;CHAR(10))-1)),(FIND("~",SUBSTITUTE(LEFT((" "&amp;LEFT(SUBSTITUTE(A218,CHAR(13),""),FIND(CHAR(10),SUBSTITUTE(A218,CHAR(13),"")&amp;CHAR(10))-1)),FIND(".",(" "&amp;LEFT(SUBSTITUTE(A218,CHAR(13),""),FIND(CHAR(10),SUBSTITUTE(A218,CHAR(13),"")&amp;CHAR(10))-1))))," ","~",LEN(LEFT((" "&amp;LEFT(SUBSTITUTE(A218,CHAR(13),""),FIND(CHAR(10),SUBSTITUTE(A218,CHAR(13),"")&amp;CHAR(10))-1)),FIND(".",(" "&amp;LEFT(SUBSTITUTE(A218,CHAR(13),""),FIND(CHAR(10),SUBSTITUTE(A218,CHAR(13),"")&amp;CHAR(10))-1)))))-LEN(SUBSTITUTE(LEFT((" "&amp;LEFT(SUBSTITUTE(A218,CHAR(13),""),FIND(CHAR(10),SUBSTITUTE(A218,CHAR(13),"")&amp;CHAR(10))-1)),FIND(".",(" "&amp;LEFT(SUBSTITUTE(A218,CHAR(13),""),FIND(CHAR(10),SUBSTITUTE(A218,CHAR(13),"")&amp;CHAR(10))-1))))," ",""))))+1),FIND(" ",(" "&amp;LEFT(SUBSTITUTE(A218,CHAR(13),""),FIND(CHAR(10),SUBSTITUTE(A218,CHAR(13),"")&amp;CHAR(10))-1))&amp;" ",FIND(".",(" "&amp;LEFT(SUBSTITUTE(A218,CHAR(13),""),FIND(CHAR(10),SUBSTITUTE(A218,CHAR(13),"")&amp;CHAR(10))-1))))-(FIND("~",SUBSTITUTE(LEFT((" "&amp;LEFT(SUBSTITUTE(A218,CHAR(13),""),FIND(CHAR(10),SUBSTITUTE(A218,CHAR(13),"")&amp;CHAR(10))-1)),FIND(".",(" "&amp;LEFT(SUBSTITUTE(A218,CHAR(13),""),FIND(CHAR(10),SUBSTITUTE(A218,CHAR(13),"")&amp;CHAR(10))-1))))," ","~",LEN(LEFT((" "&amp;LEFT(SUBSTITUTE(A218,CHAR(13),""),FIND(CHAR(10),SUBSTITUTE(A218,CHAR(13),"")&amp;CHAR(10))-1)),FIND(".",(" "&amp;LEFT(SUBSTITUTE(A218,CHAR(13),""),FIND(CHAR(10),SUBSTITUTE(A218,CHAR(13),"")&amp;CHAR(10))-1)))))-LEN(SUBSTITUTE(LEFT((" "&amp;LEFT(SUBSTITUTE(A218,CHAR(13),""),FIND(CHAR(10),SUBSTITUTE(A218,CHAR(13),"")&amp;CHAR(10))-1)),FIND(".",(" "&amp;LEFT(SUBSTITUTE(A218,CHAR(13),""),FIND(CHAR(10),SUBSTITUTE(A218,CHAR(13),"")&amp;CHAR(10))-1))))," ",""))))+1)),""))</f>
        <v/>
      </c>
    </row>
    <row r="219" customFormat="false" ht="30" hidden="false" customHeight="true" outlineLevel="0" collapsed="false">
      <c r="A219" s="11" t="str">
        <f aca="false">IFERROR(INDEX(Pegar!$A$3:$A$1002,MATCH(215,Pegar!$B$3:$B$1002,0))&amp;IF(LEFT(INDEX(Pegar!$A$3:$A$1003,MATCH(215,Pegar!$B$3:$B$1002,0)+1),5)="DESC=",CHAR(10)&amp;INDEX(Pegar!$A$3:$A$1003,MATCH(215,Pegar!$B$3:$B$1002,0)+1),""),"")</f>
        <v/>
      </c>
      <c r="B219" s="12" t="str">
        <f aca="false">IF(TRIM(A219)="","",IFERROR(MID(SUBSTITUTE(SUBSTITUTE(A219,CHAR(10)," "),CHAR(13)," "),FIND(" MT"," "&amp;SUBSTITUTE(SUBSTITUTE(A219,CHAR(10)," "),CHAR(13)," ")),FIND(" ",SUBSTITUTE(SUBSTITUTE(A219,CHAR(10)," "),CHAR(13)," ")&amp;" ",FIND(" MT"," "&amp;SUBSTITUTE(SUBSTITUTE(A219,CHAR(10)," "),CHAR(13)," ")))-FIND(" MT"," "&amp;SUBSTITUTE(SUBSTITUTE(A219,CHAR(10)," "),CHAR(13)," "))),"MT no encontrado"))</f>
        <v/>
      </c>
      <c r="C219" s="15" t="str">
        <f aca="false">IF(TRIM(A219)="","",IF(D219="",FALSE(),SUBSTITUTE(SUBSTITUTE(SUBSTITUTE(D219,".",""),"0",""),"-","")&lt;&gt;""))</f>
        <v/>
      </c>
      <c r="D219" s="14" t="str">
        <f aca="false">IF(TRIM(A219)="","",IFERROR(MID((" "&amp;LEFT(SUBSTITUTE(A219,CHAR(13),""),FIND(CHAR(10),SUBSTITUTE(A219,CHAR(13),"")&amp;CHAR(10))-1)),(FIND("~",SUBSTITUTE(LEFT((" "&amp;LEFT(SUBSTITUTE(A219,CHAR(13),""),FIND(CHAR(10),SUBSTITUTE(A219,CHAR(13),"")&amp;CHAR(10))-1)),FIND(".",(" "&amp;LEFT(SUBSTITUTE(A219,CHAR(13),""),FIND(CHAR(10),SUBSTITUTE(A219,CHAR(13),"")&amp;CHAR(10))-1))))," ","~",LEN(LEFT((" "&amp;LEFT(SUBSTITUTE(A219,CHAR(13),""),FIND(CHAR(10),SUBSTITUTE(A219,CHAR(13),"")&amp;CHAR(10))-1)),FIND(".",(" "&amp;LEFT(SUBSTITUTE(A219,CHAR(13),""),FIND(CHAR(10),SUBSTITUTE(A219,CHAR(13),"")&amp;CHAR(10))-1)))))-LEN(SUBSTITUTE(LEFT((" "&amp;LEFT(SUBSTITUTE(A219,CHAR(13),""),FIND(CHAR(10),SUBSTITUTE(A219,CHAR(13),"")&amp;CHAR(10))-1)),FIND(".",(" "&amp;LEFT(SUBSTITUTE(A219,CHAR(13),""),FIND(CHAR(10),SUBSTITUTE(A219,CHAR(13),"")&amp;CHAR(10))-1))))," ",""))))+1),FIND(" ",(" "&amp;LEFT(SUBSTITUTE(A219,CHAR(13),""),FIND(CHAR(10),SUBSTITUTE(A219,CHAR(13),"")&amp;CHAR(10))-1))&amp;" ",FIND(".",(" "&amp;LEFT(SUBSTITUTE(A219,CHAR(13),""),FIND(CHAR(10),SUBSTITUTE(A219,CHAR(13),"")&amp;CHAR(10))-1))))-(FIND("~",SUBSTITUTE(LEFT((" "&amp;LEFT(SUBSTITUTE(A219,CHAR(13),""),FIND(CHAR(10),SUBSTITUTE(A219,CHAR(13),"")&amp;CHAR(10))-1)),FIND(".",(" "&amp;LEFT(SUBSTITUTE(A219,CHAR(13),""),FIND(CHAR(10),SUBSTITUTE(A219,CHAR(13),"")&amp;CHAR(10))-1))))," ","~",LEN(LEFT((" "&amp;LEFT(SUBSTITUTE(A219,CHAR(13),""),FIND(CHAR(10),SUBSTITUTE(A219,CHAR(13),"")&amp;CHAR(10))-1)),FIND(".",(" "&amp;LEFT(SUBSTITUTE(A219,CHAR(13),""),FIND(CHAR(10),SUBSTITUTE(A219,CHAR(13),"")&amp;CHAR(10))-1)))))-LEN(SUBSTITUTE(LEFT((" "&amp;LEFT(SUBSTITUTE(A219,CHAR(13),""),FIND(CHAR(10),SUBSTITUTE(A219,CHAR(13),"")&amp;CHAR(10))-1)),FIND(".",(" "&amp;LEFT(SUBSTITUTE(A219,CHAR(13),""),FIND(CHAR(10),SUBSTITUTE(A219,CHAR(13),"")&amp;CHAR(10))-1))))," ",""))))+1)),""))</f>
        <v/>
      </c>
    </row>
    <row r="220" customFormat="false" ht="30" hidden="false" customHeight="true" outlineLevel="0" collapsed="false">
      <c r="A220" s="11" t="str">
        <f aca="false">IFERROR(INDEX(Pegar!$A$3:$A$1002,MATCH(216,Pegar!$B$3:$B$1002,0))&amp;IF(LEFT(INDEX(Pegar!$A$3:$A$1003,MATCH(216,Pegar!$B$3:$B$1002,0)+1),5)="DESC=",CHAR(10)&amp;INDEX(Pegar!$A$3:$A$1003,MATCH(216,Pegar!$B$3:$B$1002,0)+1),""),"")</f>
        <v/>
      </c>
      <c r="B220" s="12" t="str">
        <f aca="false">IF(TRIM(A220)="","",IFERROR(MID(SUBSTITUTE(SUBSTITUTE(A220,CHAR(10)," "),CHAR(13)," "),FIND(" MT"," "&amp;SUBSTITUTE(SUBSTITUTE(A220,CHAR(10)," "),CHAR(13)," ")),FIND(" ",SUBSTITUTE(SUBSTITUTE(A220,CHAR(10)," "),CHAR(13)," ")&amp;" ",FIND(" MT"," "&amp;SUBSTITUTE(SUBSTITUTE(A220,CHAR(10)," "),CHAR(13)," ")))-FIND(" MT"," "&amp;SUBSTITUTE(SUBSTITUTE(A220,CHAR(10)," "),CHAR(13)," "))),"MT no encontrado"))</f>
        <v/>
      </c>
      <c r="C220" s="15" t="str">
        <f aca="false">IF(TRIM(A220)="","",IF(D220="",FALSE(),SUBSTITUTE(SUBSTITUTE(SUBSTITUTE(D220,".",""),"0",""),"-","")&lt;&gt;""))</f>
        <v/>
      </c>
      <c r="D220" s="14" t="str">
        <f aca="false">IF(TRIM(A220)="","",IFERROR(MID((" "&amp;LEFT(SUBSTITUTE(A220,CHAR(13),""),FIND(CHAR(10),SUBSTITUTE(A220,CHAR(13),"")&amp;CHAR(10))-1)),(FIND("~",SUBSTITUTE(LEFT((" "&amp;LEFT(SUBSTITUTE(A220,CHAR(13),""),FIND(CHAR(10),SUBSTITUTE(A220,CHAR(13),"")&amp;CHAR(10))-1)),FIND(".",(" "&amp;LEFT(SUBSTITUTE(A220,CHAR(13),""),FIND(CHAR(10),SUBSTITUTE(A220,CHAR(13),"")&amp;CHAR(10))-1))))," ","~",LEN(LEFT((" "&amp;LEFT(SUBSTITUTE(A220,CHAR(13),""),FIND(CHAR(10),SUBSTITUTE(A220,CHAR(13),"")&amp;CHAR(10))-1)),FIND(".",(" "&amp;LEFT(SUBSTITUTE(A220,CHAR(13),""),FIND(CHAR(10),SUBSTITUTE(A220,CHAR(13),"")&amp;CHAR(10))-1)))))-LEN(SUBSTITUTE(LEFT((" "&amp;LEFT(SUBSTITUTE(A220,CHAR(13),""),FIND(CHAR(10),SUBSTITUTE(A220,CHAR(13),"")&amp;CHAR(10))-1)),FIND(".",(" "&amp;LEFT(SUBSTITUTE(A220,CHAR(13),""),FIND(CHAR(10),SUBSTITUTE(A220,CHAR(13),"")&amp;CHAR(10))-1))))," ",""))))+1),FIND(" ",(" "&amp;LEFT(SUBSTITUTE(A220,CHAR(13),""),FIND(CHAR(10),SUBSTITUTE(A220,CHAR(13),"")&amp;CHAR(10))-1))&amp;" ",FIND(".",(" "&amp;LEFT(SUBSTITUTE(A220,CHAR(13),""),FIND(CHAR(10),SUBSTITUTE(A220,CHAR(13),"")&amp;CHAR(10))-1))))-(FIND("~",SUBSTITUTE(LEFT((" "&amp;LEFT(SUBSTITUTE(A220,CHAR(13),""),FIND(CHAR(10),SUBSTITUTE(A220,CHAR(13),"")&amp;CHAR(10))-1)),FIND(".",(" "&amp;LEFT(SUBSTITUTE(A220,CHAR(13),""),FIND(CHAR(10),SUBSTITUTE(A220,CHAR(13),"")&amp;CHAR(10))-1))))," ","~",LEN(LEFT((" "&amp;LEFT(SUBSTITUTE(A220,CHAR(13),""),FIND(CHAR(10),SUBSTITUTE(A220,CHAR(13),"")&amp;CHAR(10))-1)),FIND(".",(" "&amp;LEFT(SUBSTITUTE(A220,CHAR(13),""),FIND(CHAR(10),SUBSTITUTE(A220,CHAR(13),"")&amp;CHAR(10))-1)))))-LEN(SUBSTITUTE(LEFT((" "&amp;LEFT(SUBSTITUTE(A220,CHAR(13),""),FIND(CHAR(10),SUBSTITUTE(A220,CHAR(13),"")&amp;CHAR(10))-1)),FIND(".",(" "&amp;LEFT(SUBSTITUTE(A220,CHAR(13),""),FIND(CHAR(10),SUBSTITUTE(A220,CHAR(13),"")&amp;CHAR(10))-1))))," ",""))))+1)),""))</f>
        <v/>
      </c>
    </row>
    <row r="221" customFormat="false" ht="30" hidden="false" customHeight="true" outlineLevel="0" collapsed="false">
      <c r="A221" s="11" t="str">
        <f aca="false">IFERROR(INDEX(Pegar!$A$3:$A$1002,MATCH(217,Pegar!$B$3:$B$1002,0))&amp;IF(LEFT(INDEX(Pegar!$A$3:$A$1003,MATCH(217,Pegar!$B$3:$B$1002,0)+1),5)="DESC=",CHAR(10)&amp;INDEX(Pegar!$A$3:$A$1003,MATCH(217,Pegar!$B$3:$B$1002,0)+1),""),"")</f>
        <v/>
      </c>
      <c r="B221" s="12" t="str">
        <f aca="false">IF(TRIM(A221)="","",IFERROR(MID(SUBSTITUTE(SUBSTITUTE(A221,CHAR(10)," "),CHAR(13)," "),FIND(" MT"," "&amp;SUBSTITUTE(SUBSTITUTE(A221,CHAR(10)," "),CHAR(13)," ")),FIND(" ",SUBSTITUTE(SUBSTITUTE(A221,CHAR(10)," "),CHAR(13)," ")&amp;" ",FIND(" MT"," "&amp;SUBSTITUTE(SUBSTITUTE(A221,CHAR(10)," "),CHAR(13)," ")))-FIND(" MT"," "&amp;SUBSTITUTE(SUBSTITUTE(A221,CHAR(10)," "),CHAR(13)," "))),"MT no encontrado"))</f>
        <v/>
      </c>
      <c r="C221" s="15" t="str">
        <f aca="false">IF(TRIM(A221)="","",IF(D221="",FALSE(),SUBSTITUTE(SUBSTITUTE(SUBSTITUTE(D221,".",""),"0",""),"-","")&lt;&gt;""))</f>
        <v/>
      </c>
      <c r="D221" s="14" t="str">
        <f aca="false">IF(TRIM(A221)="","",IFERROR(MID((" "&amp;LEFT(SUBSTITUTE(A221,CHAR(13),""),FIND(CHAR(10),SUBSTITUTE(A221,CHAR(13),"")&amp;CHAR(10))-1)),(FIND("~",SUBSTITUTE(LEFT((" "&amp;LEFT(SUBSTITUTE(A221,CHAR(13),""),FIND(CHAR(10),SUBSTITUTE(A221,CHAR(13),"")&amp;CHAR(10))-1)),FIND(".",(" "&amp;LEFT(SUBSTITUTE(A221,CHAR(13),""),FIND(CHAR(10),SUBSTITUTE(A221,CHAR(13),"")&amp;CHAR(10))-1))))," ","~",LEN(LEFT((" "&amp;LEFT(SUBSTITUTE(A221,CHAR(13),""),FIND(CHAR(10),SUBSTITUTE(A221,CHAR(13),"")&amp;CHAR(10))-1)),FIND(".",(" "&amp;LEFT(SUBSTITUTE(A221,CHAR(13),""),FIND(CHAR(10),SUBSTITUTE(A221,CHAR(13),"")&amp;CHAR(10))-1)))))-LEN(SUBSTITUTE(LEFT((" "&amp;LEFT(SUBSTITUTE(A221,CHAR(13),""),FIND(CHAR(10),SUBSTITUTE(A221,CHAR(13),"")&amp;CHAR(10))-1)),FIND(".",(" "&amp;LEFT(SUBSTITUTE(A221,CHAR(13),""),FIND(CHAR(10),SUBSTITUTE(A221,CHAR(13),"")&amp;CHAR(10))-1))))," ",""))))+1),FIND(" ",(" "&amp;LEFT(SUBSTITUTE(A221,CHAR(13),""),FIND(CHAR(10),SUBSTITUTE(A221,CHAR(13),"")&amp;CHAR(10))-1))&amp;" ",FIND(".",(" "&amp;LEFT(SUBSTITUTE(A221,CHAR(13),""),FIND(CHAR(10),SUBSTITUTE(A221,CHAR(13),"")&amp;CHAR(10))-1))))-(FIND("~",SUBSTITUTE(LEFT((" "&amp;LEFT(SUBSTITUTE(A221,CHAR(13),""),FIND(CHAR(10),SUBSTITUTE(A221,CHAR(13),"")&amp;CHAR(10))-1)),FIND(".",(" "&amp;LEFT(SUBSTITUTE(A221,CHAR(13),""),FIND(CHAR(10),SUBSTITUTE(A221,CHAR(13),"")&amp;CHAR(10))-1))))," ","~",LEN(LEFT((" "&amp;LEFT(SUBSTITUTE(A221,CHAR(13),""),FIND(CHAR(10),SUBSTITUTE(A221,CHAR(13),"")&amp;CHAR(10))-1)),FIND(".",(" "&amp;LEFT(SUBSTITUTE(A221,CHAR(13),""),FIND(CHAR(10),SUBSTITUTE(A221,CHAR(13),"")&amp;CHAR(10))-1)))))-LEN(SUBSTITUTE(LEFT((" "&amp;LEFT(SUBSTITUTE(A221,CHAR(13),""),FIND(CHAR(10),SUBSTITUTE(A221,CHAR(13),"")&amp;CHAR(10))-1)),FIND(".",(" "&amp;LEFT(SUBSTITUTE(A221,CHAR(13),""),FIND(CHAR(10),SUBSTITUTE(A221,CHAR(13),"")&amp;CHAR(10))-1))))," ",""))))+1)),""))</f>
        <v/>
      </c>
    </row>
    <row r="222" customFormat="false" ht="30" hidden="false" customHeight="true" outlineLevel="0" collapsed="false">
      <c r="A222" s="11" t="str">
        <f aca="false">IFERROR(INDEX(Pegar!$A$3:$A$1002,MATCH(218,Pegar!$B$3:$B$1002,0))&amp;IF(LEFT(INDEX(Pegar!$A$3:$A$1003,MATCH(218,Pegar!$B$3:$B$1002,0)+1),5)="DESC=",CHAR(10)&amp;INDEX(Pegar!$A$3:$A$1003,MATCH(218,Pegar!$B$3:$B$1002,0)+1),""),"")</f>
        <v/>
      </c>
      <c r="B222" s="12" t="str">
        <f aca="false">IF(TRIM(A222)="","",IFERROR(MID(SUBSTITUTE(SUBSTITUTE(A222,CHAR(10)," "),CHAR(13)," "),FIND(" MT"," "&amp;SUBSTITUTE(SUBSTITUTE(A222,CHAR(10)," "),CHAR(13)," ")),FIND(" ",SUBSTITUTE(SUBSTITUTE(A222,CHAR(10)," "),CHAR(13)," ")&amp;" ",FIND(" MT"," "&amp;SUBSTITUTE(SUBSTITUTE(A222,CHAR(10)," "),CHAR(13)," ")))-FIND(" MT"," "&amp;SUBSTITUTE(SUBSTITUTE(A222,CHAR(10)," "),CHAR(13)," "))),"MT no encontrado"))</f>
        <v/>
      </c>
      <c r="C222" s="15" t="str">
        <f aca="false">IF(TRIM(A222)="","",IF(D222="",FALSE(),SUBSTITUTE(SUBSTITUTE(SUBSTITUTE(D222,".",""),"0",""),"-","")&lt;&gt;""))</f>
        <v/>
      </c>
      <c r="D222" s="14" t="str">
        <f aca="false">IF(TRIM(A222)="","",IFERROR(MID((" "&amp;LEFT(SUBSTITUTE(A222,CHAR(13),""),FIND(CHAR(10),SUBSTITUTE(A222,CHAR(13),"")&amp;CHAR(10))-1)),(FIND("~",SUBSTITUTE(LEFT((" "&amp;LEFT(SUBSTITUTE(A222,CHAR(13),""),FIND(CHAR(10),SUBSTITUTE(A222,CHAR(13),"")&amp;CHAR(10))-1)),FIND(".",(" "&amp;LEFT(SUBSTITUTE(A222,CHAR(13),""),FIND(CHAR(10),SUBSTITUTE(A222,CHAR(13),"")&amp;CHAR(10))-1))))," ","~",LEN(LEFT((" "&amp;LEFT(SUBSTITUTE(A222,CHAR(13),""),FIND(CHAR(10),SUBSTITUTE(A222,CHAR(13),"")&amp;CHAR(10))-1)),FIND(".",(" "&amp;LEFT(SUBSTITUTE(A222,CHAR(13),""),FIND(CHAR(10),SUBSTITUTE(A222,CHAR(13),"")&amp;CHAR(10))-1)))))-LEN(SUBSTITUTE(LEFT((" "&amp;LEFT(SUBSTITUTE(A222,CHAR(13),""),FIND(CHAR(10),SUBSTITUTE(A222,CHAR(13),"")&amp;CHAR(10))-1)),FIND(".",(" "&amp;LEFT(SUBSTITUTE(A222,CHAR(13),""),FIND(CHAR(10),SUBSTITUTE(A222,CHAR(13),"")&amp;CHAR(10))-1))))," ",""))))+1),FIND(" ",(" "&amp;LEFT(SUBSTITUTE(A222,CHAR(13),""),FIND(CHAR(10),SUBSTITUTE(A222,CHAR(13),"")&amp;CHAR(10))-1))&amp;" ",FIND(".",(" "&amp;LEFT(SUBSTITUTE(A222,CHAR(13),""),FIND(CHAR(10),SUBSTITUTE(A222,CHAR(13),"")&amp;CHAR(10))-1))))-(FIND("~",SUBSTITUTE(LEFT((" "&amp;LEFT(SUBSTITUTE(A222,CHAR(13),""),FIND(CHAR(10),SUBSTITUTE(A222,CHAR(13),"")&amp;CHAR(10))-1)),FIND(".",(" "&amp;LEFT(SUBSTITUTE(A222,CHAR(13),""),FIND(CHAR(10),SUBSTITUTE(A222,CHAR(13),"")&amp;CHAR(10))-1))))," ","~",LEN(LEFT((" "&amp;LEFT(SUBSTITUTE(A222,CHAR(13),""),FIND(CHAR(10),SUBSTITUTE(A222,CHAR(13),"")&amp;CHAR(10))-1)),FIND(".",(" "&amp;LEFT(SUBSTITUTE(A222,CHAR(13),""),FIND(CHAR(10),SUBSTITUTE(A222,CHAR(13),"")&amp;CHAR(10))-1)))))-LEN(SUBSTITUTE(LEFT((" "&amp;LEFT(SUBSTITUTE(A222,CHAR(13),""),FIND(CHAR(10),SUBSTITUTE(A222,CHAR(13),"")&amp;CHAR(10))-1)),FIND(".",(" "&amp;LEFT(SUBSTITUTE(A222,CHAR(13),""),FIND(CHAR(10),SUBSTITUTE(A222,CHAR(13),"")&amp;CHAR(10))-1))))," ",""))))+1)),""))</f>
        <v/>
      </c>
    </row>
    <row r="223" customFormat="false" ht="30" hidden="false" customHeight="true" outlineLevel="0" collapsed="false">
      <c r="A223" s="11" t="str">
        <f aca="false">IFERROR(INDEX(Pegar!$A$3:$A$1002,MATCH(219,Pegar!$B$3:$B$1002,0))&amp;IF(LEFT(INDEX(Pegar!$A$3:$A$1003,MATCH(219,Pegar!$B$3:$B$1002,0)+1),5)="DESC=",CHAR(10)&amp;INDEX(Pegar!$A$3:$A$1003,MATCH(219,Pegar!$B$3:$B$1002,0)+1),""),"")</f>
        <v/>
      </c>
      <c r="B223" s="12" t="str">
        <f aca="false">IF(TRIM(A223)="","",IFERROR(MID(SUBSTITUTE(SUBSTITUTE(A223,CHAR(10)," "),CHAR(13)," "),FIND(" MT"," "&amp;SUBSTITUTE(SUBSTITUTE(A223,CHAR(10)," "),CHAR(13)," ")),FIND(" ",SUBSTITUTE(SUBSTITUTE(A223,CHAR(10)," "),CHAR(13)," ")&amp;" ",FIND(" MT"," "&amp;SUBSTITUTE(SUBSTITUTE(A223,CHAR(10)," "),CHAR(13)," ")))-FIND(" MT"," "&amp;SUBSTITUTE(SUBSTITUTE(A223,CHAR(10)," "),CHAR(13)," "))),"MT no encontrado"))</f>
        <v/>
      </c>
      <c r="C223" s="15" t="str">
        <f aca="false">IF(TRIM(A223)="","",IF(D223="",FALSE(),SUBSTITUTE(SUBSTITUTE(SUBSTITUTE(D223,".",""),"0",""),"-","")&lt;&gt;""))</f>
        <v/>
      </c>
      <c r="D223" s="14" t="str">
        <f aca="false">IF(TRIM(A223)="","",IFERROR(MID((" "&amp;LEFT(SUBSTITUTE(A223,CHAR(13),""),FIND(CHAR(10),SUBSTITUTE(A223,CHAR(13),"")&amp;CHAR(10))-1)),(FIND("~",SUBSTITUTE(LEFT((" "&amp;LEFT(SUBSTITUTE(A223,CHAR(13),""),FIND(CHAR(10),SUBSTITUTE(A223,CHAR(13),"")&amp;CHAR(10))-1)),FIND(".",(" "&amp;LEFT(SUBSTITUTE(A223,CHAR(13),""),FIND(CHAR(10),SUBSTITUTE(A223,CHAR(13),"")&amp;CHAR(10))-1))))," ","~",LEN(LEFT((" "&amp;LEFT(SUBSTITUTE(A223,CHAR(13),""),FIND(CHAR(10),SUBSTITUTE(A223,CHAR(13),"")&amp;CHAR(10))-1)),FIND(".",(" "&amp;LEFT(SUBSTITUTE(A223,CHAR(13),""),FIND(CHAR(10),SUBSTITUTE(A223,CHAR(13),"")&amp;CHAR(10))-1)))))-LEN(SUBSTITUTE(LEFT((" "&amp;LEFT(SUBSTITUTE(A223,CHAR(13),""),FIND(CHAR(10),SUBSTITUTE(A223,CHAR(13),"")&amp;CHAR(10))-1)),FIND(".",(" "&amp;LEFT(SUBSTITUTE(A223,CHAR(13),""),FIND(CHAR(10),SUBSTITUTE(A223,CHAR(13),"")&amp;CHAR(10))-1))))," ",""))))+1),FIND(" ",(" "&amp;LEFT(SUBSTITUTE(A223,CHAR(13),""),FIND(CHAR(10),SUBSTITUTE(A223,CHAR(13),"")&amp;CHAR(10))-1))&amp;" ",FIND(".",(" "&amp;LEFT(SUBSTITUTE(A223,CHAR(13),""),FIND(CHAR(10),SUBSTITUTE(A223,CHAR(13),"")&amp;CHAR(10))-1))))-(FIND("~",SUBSTITUTE(LEFT((" "&amp;LEFT(SUBSTITUTE(A223,CHAR(13),""),FIND(CHAR(10),SUBSTITUTE(A223,CHAR(13),"")&amp;CHAR(10))-1)),FIND(".",(" "&amp;LEFT(SUBSTITUTE(A223,CHAR(13),""),FIND(CHAR(10),SUBSTITUTE(A223,CHAR(13),"")&amp;CHAR(10))-1))))," ","~",LEN(LEFT((" "&amp;LEFT(SUBSTITUTE(A223,CHAR(13),""),FIND(CHAR(10),SUBSTITUTE(A223,CHAR(13),"")&amp;CHAR(10))-1)),FIND(".",(" "&amp;LEFT(SUBSTITUTE(A223,CHAR(13),""),FIND(CHAR(10),SUBSTITUTE(A223,CHAR(13),"")&amp;CHAR(10))-1)))))-LEN(SUBSTITUTE(LEFT((" "&amp;LEFT(SUBSTITUTE(A223,CHAR(13),""),FIND(CHAR(10),SUBSTITUTE(A223,CHAR(13),"")&amp;CHAR(10))-1)),FIND(".",(" "&amp;LEFT(SUBSTITUTE(A223,CHAR(13),""),FIND(CHAR(10),SUBSTITUTE(A223,CHAR(13),"")&amp;CHAR(10))-1))))," ",""))))+1)),""))</f>
        <v/>
      </c>
    </row>
    <row r="224" customFormat="false" ht="30" hidden="false" customHeight="true" outlineLevel="0" collapsed="false">
      <c r="A224" s="11" t="str">
        <f aca="false">IFERROR(INDEX(Pegar!$A$3:$A$1002,MATCH(220,Pegar!$B$3:$B$1002,0))&amp;IF(LEFT(INDEX(Pegar!$A$3:$A$1003,MATCH(220,Pegar!$B$3:$B$1002,0)+1),5)="DESC=",CHAR(10)&amp;INDEX(Pegar!$A$3:$A$1003,MATCH(220,Pegar!$B$3:$B$1002,0)+1),""),"")</f>
        <v/>
      </c>
      <c r="B224" s="12" t="str">
        <f aca="false">IF(TRIM(A224)="","",IFERROR(MID(SUBSTITUTE(SUBSTITUTE(A224,CHAR(10)," "),CHAR(13)," "),FIND(" MT"," "&amp;SUBSTITUTE(SUBSTITUTE(A224,CHAR(10)," "),CHAR(13)," ")),FIND(" ",SUBSTITUTE(SUBSTITUTE(A224,CHAR(10)," "),CHAR(13)," ")&amp;" ",FIND(" MT"," "&amp;SUBSTITUTE(SUBSTITUTE(A224,CHAR(10)," "),CHAR(13)," ")))-FIND(" MT"," "&amp;SUBSTITUTE(SUBSTITUTE(A224,CHAR(10)," "),CHAR(13)," "))),"MT no encontrado"))</f>
        <v/>
      </c>
      <c r="C224" s="15" t="str">
        <f aca="false">IF(TRIM(A224)="","",IF(D224="",FALSE(),SUBSTITUTE(SUBSTITUTE(SUBSTITUTE(D224,".",""),"0",""),"-","")&lt;&gt;""))</f>
        <v/>
      </c>
      <c r="D224" s="14" t="str">
        <f aca="false">IF(TRIM(A224)="","",IFERROR(MID((" "&amp;LEFT(SUBSTITUTE(A224,CHAR(13),""),FIND(CHAR(10),SUBSTITUTE(A224,CHAR(13),"")&amp;CHAR(10))-1)),(FIND("~",SUBSTITUTE(LEFT((" "&amp;LEFT(SUBSTITUTE(A224,CHAR(13),""),FIND(CHAR(10),SUBSTITUTE(A224,CHAR(13),"")&amp;CHAR(10))-1)),FIND(".",(" "&amp;LEFT(SUBSTITUTE(A224,CHAR(13),""),FIND(CHAR(10),SUBSTITUTE(A224,CHAR(13),"")&amp;CHAR(10))-1))))," ","~",LEN(LEFT((" "&amp;LEFT(SUBSTITUTE(A224,CHAR(13),""),FIND(CHAR(10),SUBSTITUTE(A224,CHAR(13),"")&amp;CHAR(10))-1)),FIND(".",(" "&amp;LEFT(SUBSTITUTE(A224,CHAR(13),""),FIND(CHAR(10),SUBSTITUTE(A224,CHAR(13),"")&amp;CHAR(10))-1)))))-LEN(SUBSTITUTE(LEFT((" "&amp;LEFT(SUBSTITUTE(A224,CHAR(13),""),FIND(CHAR(10),SUBSTITUTE(A224,CHAR(13),"")&amp;CHAR(10))-1)),FIND(".",(" "&amp;LEFT(SUBSTITUTE(A224,CHAR(13),""),FIND(CHAR(10),SUBSTITUTE(A224,CHAR(13),"")&amp;CHAR(10))-1))))," ",""))))+1),FIND(" ",(" "&amp;LEFT(SUBSTITUTE(A224,CHAR(13),""),FIND(CHAR(10),SUBSTITUTE(A224,CHAR(13),"")&amp;CHAR(10))-1))&amp;" ",FIND(".",(" "&amp;LEFT(SUBSTITUTE(A224,CHAR(13),""),FIND(CHAR(10),SUBSTITUTE(A224,CHAR(13),"")&amp;CHAR(10))-1))))-(FIND("~",SUBSTITUTE(LEFT((" "&amp;LEFT(SUBSTITUTE(A224,CHAR(13),""),FIND(CHAR(10),SUBSTITUTE(A224,CHAR(13),"")&amp;CHAR(10))-1)),FIND(".",(" "&amp;LEFT(SUBSTITUTE(A224,CHAR(13),""),FIND(CHAR(10),SUBSTITUTE(A224,CHAR(13),"")&amp;CHAR(10))-1))))," ","~",LEN(LEFT((" "&amp;LEFT(SUBSTITUTE(A224,CHAR(13),""),FIND(CHAR(10),SUBSTITUTE(A224,CHAR(13),"")&amp;CHAR(10))-1)),FIND(".",(" "&amp;LEFT(SUBSTITUTE(A224,CHAR(13),""),FIND(CHAR(10),SUBSTITUTE(A224,CHAR(13),"")&amp;CHAR(10))-1)))))-LEN(SUBSTITUTE(LEFT((" "&amp;LEFT(SUBSTITUTE(A224,CHAR(13),""),FIND(CHAR(10),SUBSTITUTE(A224,CHAR(13),"")&amp;CHAR(10))-1)),FIND(".",(" "&amp;LEFT(SUBSTITUTE(A224,CHAR(13),""),FIND(CHAR(10),SUBSTITUTE(A224,CHAR(13),"")&amp;CHAR(10))-1))))," ",""))))+1)),""))</f>
        <v/>
      </c>
    </row>
    <row r="225" customFormat="false" ht="30" hidden="false" customHeight="true" outlineLevel="0" collapsed="false">
      <c r="A225" s="11" t="str">
        <f aca="false">IFERROR(INDEX(Pegar!$A$3:$A$1002,MATCH(221,Pegar!$B$3:$B$1002,0))&amp;IF(LEFT(INDEX(Pegar!$A$3:$A$1003,MATCH(221,Pegar!$B$3:$B$1002,0)+1),5)="DESC=",CHAR(10)&amp;INDEX(Pegar!$A$3:$A$1003,MATCH(221,Pegar!$B$3:$B$1002,0)+1),""),"")</f>
        <v/>
      </c>
      <c r="B225" s="12" t="str">
        <f aca="false">IF(TRIM(A225)="","",IFERROR(MID(SUBSTITUTE(SUBSTITUTE(A225,CHAR(10)," "),CHAR(13)," "),FIND(" MT"," "&amp;SUBSTITUTE(SUBSTITUTE(A225,CHAR(10)," "),CHAR(13)," ")),FIND(" ",SUBSTITUTE(SUBSTITUTE(A225,CHAR(10)," "),CHAR(13)," ")&amp;" ",FIND(" MT"," "&amp;SUBSTITUTE(SUBSTITUTE(A225,CHAR(10)," "),CHAR(13)," ")))-FIND(" MT"," "&amp;SUBSTITUTE(SUBSTITUTE(A225,CHAR(10)," "),CHAR(13)," "))),"MT no encontrado"))</f>
        <v/>
      </c>
      <c r="C225" s="15" t="str">
        <f aca="false">IF(TRIM(A225)="","",IF(D225="",FALSE(),SUBSTITUTE(SUBSTITUTE(SUBSTITUTE(D225,".",""),"0",""),"-","")&lt;&gt;""))</f>
        <v/>
      </c>
      <c r="D225" s="14" t="str">
        <f aca="false">IF(TRIM(A225)="","",IFERROR(MID((" "&amp;LEFT(SUBSTITUTE(A225,CHAR(13),""),FIND(CHAR(10),SUBSTITUTE(A225,CHAR(13),"")&amp;CHAR(10))-1)),(FIND("~",SUBSTITUTE(LEFT((" "&amp;LEFT(SUBSTITUTE(A225,CHAR(13),""),FIND(CHAR(10),SUBSTITUTE(A225,CHAR(13),"")&amp;CHAR(10))-1)),FIND(".",(" "&amp;LEFT(SUBSTITUTE(A225,CHAR(13),""),FIND(CHAR(10),SUBSTITUTE(A225,CHAR(13),"")&amp;CHAR(10))-1))))," ","~",LEN(LEFT((" "&amp;LEFT(SUBSTITUTE(A225,CHAR(13),""),FIND(CHAR(10),SUBSTITUTE(A225,CHAR(13),"")&amp;CHAR(10))-1)),FIND(".",(" "&amp;LEFT(SUBSTITUTE(A225,CHAR(13),""),FIND(CHAR(10),SUBSTITUTE(A225,CHAR(13),"")&amp;CHAR(10))-1)))))-LEN(SUBSTITUTE(LEFT((" "&amp;LEFT(SUBSTITUTE(A225,CHAR(13),""),FIND(CHAR(10),SUBSTITUTE(A225,CHAR(13),"")&amp;CHAR(10))-1)),FIND(".",(" "&amp;LEFT(SUBSTITUTE(A225,CHAR(13),""),FIND(CHAR(10),SUBSTITUTE(A225,CHAR(13),"")&amp;CHAR(10))-1))))," ",""))))+1),FIND(" ",(" "&amp;LEFT(SUBSTITUTE(A225,CHAR(13),""),FIND(CHAR(10),SUBSTITUTE(A225,CHAR(13),"")&amp;CHAR(10))-1))&amp;" ",FIND(".",(" "&amp;LEFT(SUBSTITUTE(A225,CHAR(13),""),FIND(CHAR(10),SUBSTITUTE(A225,CHAR(13),"")&amp;CHAR(10))-1))))-(FIND("~",SUBSTITUTE(LEFT((" "&amp;LEFT(SUBSTITUTE(A225,CHAR(13),""),FIND(CHAR(10),SUBSTITUTE(A225,CHAR(13),"")&amp;CHAR(10))-1)),FIND(".",(" "&amp;LEFT(SUBSTITUTE(A225,CHAR(13),""),FIND(CHAR(10),SUBSTITUTE(A225,CHAR(13),"")&amp;CHAR(10))-1))))," ","~",LEN(LEFT((" "&amp;LEFT(SUBSTITUTE(A225,CHAR(13),""),FIND(CHAR(10),SUBSTITUTE(A225,CHAR(13),"")&amp;CHAR(10))-1)),FIND(".",(" "&amp;LEFT(SUBSTITUTE(A225,CHAR(13),""),FIND(CHAR(10),SUBSTITUTE(A225,CHAR(13),"")&amp;CHAR(10))-1)))))-LEN(SUBSTITUTE(LEFT((" "&amp;LEFT(SUBSTITUTE(A225,CHAR(13),""),FIND(CHAR(10),SUBSTITUTE(A225,CHAR(13),"")&amp;CHAR(10))-1)),FIND(".",(" "&amp;LEFT(SUBSTITUTE(A225,CHAR(13),""),FIND(CHAR(10),SUBSTITUTE(A225,CHAR(13),"")&amp;CHAR(10))-1))))," ",""))))+1)),""))</f>
        <v/>
      </c>
    </row>
    <row r="226" customFormat="false" ht="30" hidden="false" customHeight="true" outlineLevel="0" collapsed="false">
      <c r="A226" s="11" t="str">
        <f aca="false">IFERROR(INDEX(Pegar!$A$3:$A$1002,MATCH(222,Pegar!$B$3:$B$1002,0))&amp;IF(LEFT(INDEX(Pegar!$A$3:$A$1003,MATCH(222,Pegar!$B$3:$B$1002,0)+1),5)="DESC=",CHAR(10)&amp;INDEX(Pegar!$A$3:$A$1003,MATCH(222,Pegar!$B$3:$B$1002,0)+1),""),"")</f>
        <v/>
      </c>
      <c r="B226" s="12" t="str">
        <f aca="false">IF(TRIM(A226)="","",IFERROR(MID(SUBSTITUTE(SUBSTITUTE(A226,CHAR(10)," "),CHAR(13)," "),FIND(" MT"," "&amp;SUBSTITUTE(SUBSTITUTE(A226,CHAR(10)," "),CHAR(13)," ")),FIND(" ",SUBSTITUTE(SUBSTITUTE(A226,CHAR(10)," "),CHAR(13)," ")&amp;" ",FIND(" MT"," "&amp;SUBSTITUTE(SUBSTITUTE(A226,CHAR(10)," "),CHAR(13)," ")))-FIND(" MT"," "&amp;SUBSTITUTE(SUBSTITUTE(A226,CHAR(10)," "),CHAR(13)," "))),"MT no encontrado"))</f>
        <v/>
      </c>
      <c r="C226" s="15" t="str">
        <f aca="false">IF(TRIM(A226)="","",IF(D226="",FALSE(),SUBSTITUTE(SUBSTITUTE(SUBSTITUTE(D226,".",""),"0",""),"-","")&lt;&gt;""))</f>
        <v/>
      </c>
      <c r="D226" s="14" t="str">
        <f aca="false">IF(TRIM(A226)="","",IFERROR(MID((" "&amp;LEFT(SUBSTITUTE(A226,CHAR(13),""),FIND(CHAR(10),SUBSTITUTE(A226,CHAR(13),"")&amp;CHAR(10))-1)),(FIND("~",SUBSTITUTE(LEFT((" "&amp;LEFT(SUBSTITUTE(A226,CHAR(13),""),FIND(CHAR(10),SUBSTITUTE(A226,CHAR(13),"")&amp;CHAR(10))-1)),FIND(".",(" "&amp;LEFT(SUBSTITUTE(A226,CHAR(13),""),FIND(CHAR(10),SUBSTITUTE(A226,CHAR(13),"")&amp;CHAR(10))-1))))," ","~",LEN(LEFT((" "&amp;LEFT(SUBSTITUTE(A226,CHAR(13),""),FIND(CHAR(10),SUBSTITUTE(A226,CHAR(13),"")&amp;CHAR(10))-1)),FIND(".",(" "&amp;LEFT(SUBSTITUTE(A226,CHAR(13),""),FIND(CHAR(10),SUBSTITUTE(A226,CHAR(13),"")&amp;CHAR(10))-1)))))-LEN(SUBSTITUTE(LEFT((" "&amp;LEFT(SUBSTITUTE(A226,CHAR(13),""),FIND(CHAR(10),SUBSTITUTE(A226,CHAR(13),"")&amp;CHAR(10))-1)),FIND(".",(" "&amp;LEFT(SUBSTITUTE(A226,CHAR(13),""),FIND(CHAR(10),SUBSTITUTE(A226,CHAR(13),"")&amp;CHAR(10))-1))))," ",""))))+1),FIND(" ",(" "&amp;LEFT(SUBSTITUTE(A226,CHAR(13),""),FIND(CHAR(10),SUBSTITUTE(A226,CHAR(13),"")&amp;CHAR(10))-1))&amp;" ",FIND(".",(" "&amp;LEFT(SUBSTITUTE(A226,CHAR(13),""),FIND(CHAR(10),SUBSTITUTE(A226,CHAR(13),"")&amp;CHAR(10))-1))))-(FIND("~",SUBSTITUTE(LEFT((" "&amp;LEFT(SUBSTITUTE(A226,CHAR(13),""),FIND(CHAR(10),SUBSTITUTE(A226,CHAR(13),"")&amp;CHAR(10))-1)),FIND(".",(" "&amp;LEFT(SUBSTITUTE(A226,CHAR(13),""),FIND(CHAR(10),SUBSTITUTE(A226,CHAR(13),"")&amp;CHAR(10))-1))))," ","~",LEN(LEFT((" "&amp;LEFT(SUBSTITUTE(A226,CHAR(13),""),FIND(CHAR(10),SUBSTITUTE(A226,CHAR(13),"")&amp;CHAR(10))-1)),FIND(".",(" "&amp;LEFT(SUBSTITUTE(A226,CHAR(13),""),FIND(CHAR(10),SUBSTITUTE(A226,CHAR(13),"")&amp;CHAR(10))-1)))))-LEN(SUBSTITUTE(LEFT((" "&amp;LEFT(SUBSTITUTE(A226,CHAR(13),""),FIND(CHAR(10),SUBSTITUTE(A226,CHAR(13),"")&amp;CHAR(10))-1)),FIND(".",(" "&amp;LEFT(SUBSTITUTE(A226,CHAR(13),""),FIND(CHAR(10),SUBSTITUTE(A226,CHAR(13),"")&amp;CHAR(10))-1))))," ",""))))+1)),""))</f>
        <v/>
      </c>
    </row>
    <row r="227" customFormat="false" ht="30" hidden="false" customHeight="true" outlineLevel="0" collapsed="false">
      <c r="A227" s="11" t="str">
        <f aca="false">IFERROR(INDEX(Pegar!$A$3:$A$1002,MATCH(223,Pegar!$B$3:$B$1002,0))&amp;IF(LEFT(INDEX(Pegar!$A$3:$A$1003,MATCH(223,Pegar!$B$3:$B$1002,0)+1),5)="DESC=",CHAR(10)&amp;INDEX(Pegar!$A$3:$A$1003,MATCH(223,Pegar!$B$3:$B$1002,0)+1),""),"")</f>
        <v/>
      </c>
      <c r="B227" s="12" t="str">
        <f aca="false">IF(TRIM(A227)="","",IFERROR(MID(SUBSTITUTE(SUBSTITUTE(A227,CHAR(10)," "),CHAR(13)," "),FIND(" MT"," "&amp;SUBSTITUTE(SUBSTITUTE(A227,CHAR(10)," "),CHAR(13)," ")),FIND(" ",SUBSTITUTE(SUBSTITUTE(A227,CHAR(10)," "),CHAR(13)," ")&amp;" ",FIND(" MT"," "&amp;SUBSTITUTE(SUBSTITUTE(A227,CHAR(10)," "),CHAR(13)," ")))-FIND(" MT"," "&amp;SUBSTITUTE(SUBSTITUTE(A227,CHAR(10)," "),CHAR(13)," "))),"MT no encontrado"))</f>
        <v/>
      </c>
      <c r="C227" s="15" t="str">
        <f aca="false">IF(TRIM(A227)="","",IF(D227="",FALSE(),SUBSTITUTE(SUBSTITUTE(SUBSTITUTE(D227,".",""),"0",""),"-","")&lt;&gt;""))</f>
        <v/>
      </c>
      <c r="D227" s="14" t="str">
        <f aca="false">IF(TRIM(A227)="","",IFERROR(MID((" "&amp;LEFT(SUBSTITUTE(A227,CHAR(13),""),FIND(CHAR(10),SUBSTITUTE(A227,CHAR(13),"")&amp;CHAR(10))-1)),(FIND("~",SUBSTITUTE(LEFT((" "&amp;LEFT(SUBSTITUTE(A227,CHAR(13),""),FIND(CHAR(10),SUBSTITUTE(A227,CHAR(13),"")&amp;CHAR(10))-1)),FIND(".",(" "&amp;LEFT(SUBSTITUTE(A227,CHAR(13),""),FIND(CHAR(10),SUBSTITUTE(A227,CHAR(13),"")&amp;CHAR(10))-1))))," ","~",LEN(LEFT((" "&amp;LEFT(SUBSTITUTE(A227,CHAR(13),""),FIND(CHAR(10),SUBSTITUTE(A227,CHAR(13),"")&amp;CHAR(10))-1)),FIND(".",(" "&amp;LEFT(SUBSTITUTE(A227,CHAR(13),""),FIND(CHAR(10),SUBSTITUTE(A227,CHAR(13),"")&amp;CHAR(10))-1)))))-LEN(SUBSTITUTE(LEFT((" "&amp;LEFT(SUBSTITUTE(A227,CHAR(13),""),FIND(CHAR(10),SUBSTITUTE(A227,CHAR(13),"")&amp;CHAR(10))-1)),FIND(".",(" "&amp;LEFT(SUBSTITUTE(A227,CHAR(13),""),FIND(CHAR(10),SUBSTITUTE(A227,CHAR(13),"")&amp;CHAR(10))-1))))," ",""))))+1),FIND(" ",(" "&amp;LEFT(SUBSTITUTE(A227,CHAR(13),""),FIND(CHAR(10),SUBSTITUTE(A227,CHAR(13),"")&amp;CHAR(10))-1))&amp;" ",FIND(".",(" "&amp;LEFT(SUBSTITUTE(A227,CHAR(13),""),FIND(CHAR(10),SUBSTITUTE(A227,CHAR(13),"")&amp;CHAR(10))-1))))-(FIND("~",SUBSTITUTE(LEFT((" "&amp;LEFT(SUBSTITUTE(A227,CHAR(13),""),FIND(CHAR(10),SUBSTITUTE(A227,CHAR(13),"")&amp;CHAR(10))-1)),FIND(".",(" "&amp;LEFT(SUBSTITUTE(A227,CHAR(13),""),FIND(CHAR(10),SUBSTITUTE(A227,CHAR(13),"")&amp;CHAR(10))-1))))," ","~",LEN(LEFT((" "&amp;LEFT(SUBSTITUTE(A227,CHAR(13),""),FIND(CHAR(10),SUBSTITUTE(A227,CHAR(13),"")&amp;CHAR(10))-1)),FIND(".",(" "&amp;LEFT(SUBSTITUTE(A227,CHAR(13),""),FIND(CHAR(10),SUBSTITUTE(A227,CHAR(13),"")&amp;CHAR(10))-1)))))-LEN(SUBSTITUTE(LEFT((" "&amp;LEFT(SUBSTITUTE(A227,CHAR(13),""),FIND(CHAR(10),SUBSTITUTE(A227,CHAR(13),"")&amp;CHAR(10))-1)),FIND(".",(" "&amp;LEFT(SUBSTITUTE(A227,CHAR(13),""),FIND(CHAR(10),SUBSTITUTE(A227,CHAR(13),"")&amp;CHAR(10))-1))))," ",""))))+1)),""))</f>
        <v/>
      </c>
    </row>
    <row r="228" customFormat="false" ht="30" hidden="false" customHeight="true" outlineLevel="0" collapsed="false">
      <c r="A228" s="11" t="str">
        <f aca="false">IFERROR(INDEX(Pegar!$A$3:$A$1002,MATCH(224,Pegar!$B$3:$B$1002,0))&amp;IF(LEFT(INDEX(Pegar!$A$3:$A$1003,MATCH(224,Pegar!$B$3:$B$1002,0)+1),5)="DESC=",CHAR(10)&amp;INDEX(Pegar!$A$3:$A$1003,MATCH(224,Pegar!$B$3:$B$1002,0)+1),""),"")</f>
        <v/>
      </c>
      <c r="B228" s="12" t="str">
        <f aca="false">IF(TRIM(A228)="","",IFERROR(MID(SUBSTITUTE(SUBSTITUTE(A228,CHAR(10)," "),CHAR(13)," "),FIND(" MT"," "&amp;SUBSTITUTE(SUBSTITUTE(A228,CHAR(10)," "),CHAR(13)," ")),FIND(" ",SUBSTITUTE(SUBSTITUTE(A228,CHAR(10)," "),CHAR(13)," ")&amp;" ",FIND(" MT"," "&amp;SUBSTITUTE(SUBSTITUTE(A228,CHAR(10)," "),CHAR(13)," ")))-FIND(" MT"," "&amp;SUBSTITUTE(SUBSTITUTE(A228,CHAR(10)," "),CHAR(13)," "))),"MT no encontrado"))</f>
        <v/>
      </c>
      <c r="C228" s="15" t="str">
        <f aca="false">IF(TRIM(A228)="","",IF(D228="",FALSE(),SUBSTITUTE(SUBSTITUTE(SUBSTITUTE(D228,".",""),"0",""),"-","")&lt;&gt;""))</f>
        <v/>
      </c>
      <c r="D228" s="14" t="str">
        <f aca="false">IF(TRIM(A228)="","",IFERROR(MID((" "&amp;LEFT(SUBSTITUTE(A228,CHAR(13),""),FIND(CHAR(10),SUBSTITUTE(A228,CHAR(13),"")&amp;CHAR(10))-1)),(FIND("~",SUBSTITUTE(LEFT((" "&amp;LEFT(SUBSTITUTE(A228,CHAR(13),""),FIND(CHAR(10),SUBSTITUTE(A228,CHAR(13),"")&amp;CHAR(10))-1)),FIND(".",(" "&amp;LEFT(SUBSTITUTE(A228,CHAR(13),""),FIND(CHAR(10),SUBSTITUTE(A228,CHAR(13),"")&amp;CHAR(10))-1))))," ","~",LEN(LEFT((" "&amp;LEFT(SUBSTITUTE(A228,CHAR(13),""),FIND(CHAR(10),SUBSTITUTE(A228,CHAR(13),"")&amp;CHAR(10))-1)),FIND(".",(" "&amp;LEFT(SUBSTITUTE(A228,CHAR(13),""),FIND(CHAR(10),SUBSTITUTE(A228,CHAR(13),"")&amp;CHAR(10))-1)))))-LEN(SUBSTITUTE(LEFT((" "&amp;LEFT(SUBSTITUTE(A228,CHAR(13),""),FIND(CHAR(10),SUBSTITUTE(A228,CHAR(13),"")&amp;CHAR(10))-1)),FIND(".",(" "&amp;LEFT(SUBSTITUTE(A228,CHAR(13),""),FIND(CHAR(10),SUBSTITUTE(A228,CHAR(13),"")&amp;CHAR(10))-1))))," ",""))))+1),FIND(" ",(" "&amp;LEFT(SUBSTITUTE(A228,CHAR(13),""),FIND(CHAR(10),SUBSTITUTE(A228,CHAR(13),"")&amp;CHAR(10))-1))&amp;" ",FIND(".",(" "&amp;LEFT(SUBSTITUTE(A228,CHAR(13),""),FIND(CHAR(10),SUBSTITUTE(A228,CHAR(13),"")&amp;CHAR(10))-1))))-(FIND("~",SUBSTITUTE(LEFT((" "&amp;LEFT(SUBSTITUTE(A228,CHAR(13),""),FIND(CHAR(10),SUBSTITUTE(A228,CHAR(13),"")&amp;CHAR(10))-1)),FIND(".",(" "&amp;LEFT(SUBSTITUTE(A228,CHAR(13),""),FIND(CHAR(10),SUBSTITUTE(A228,CHAR(13),"")&amp;CHAR(10))-1))))," ","~",LEN(LEFT((" "&amp;LEFT(SUBSTITUTE(A228,CHAR(13),""),FIND(CHAR(10),SUBSTITUTE(A228,CHAR(13),"")&amp;CHAR(10))-1)),FIND(".",(" "&amp;LEFT(SUBSTITUTE(A228,CHAR(13),""),FIND(CHAR(10),SUBSTITUTE(A228,CHAR(13),"")&amp;CHAR(10))-1)))))-LEN(SUBSTITUTE(LEFT((" "&amp;LEFT(SUBSTITUTE(A228,CHAR(13),""),FIND(CHAR(10),SUBSTITUTE(A228,CHAR(13),"")&amp;CHAR(10))-1)),FIND(".",(" "&amp;LEFT(SUBSTITUTE(A228,CHAR(13),""),FIND(CHAR(10),SUBSTITUTE(A228,CHAR(13),"")&amp;CHAR(10))-1))))," ",""))))+1)),""))</f>
        <v/>
      </c>
    </row>
    <row r="229" customFormat="false" ht="30" hidden="false" customHeight="true" outlineLevel="0" collapsed="false">
      <c r="A229" s="11" t="str">
        <f aca="false">IFERROR(INDEX(Pegar!$A$3:$A$1002,MATCH(225,Pegar!$B$3:$B$1002,0))&amp;IF(LEFT(INDEX(Pegar!$A$3:$A$1003,MATCH(225,Pegar!$B$3:$B$1002,0)+1),5)="DESC=",CHAR(10)&amp;INDEX(Pegar!$A$3:$A$1003,MATCH(225,Pegar!$B$3:$B$1002,0)+1),""),"")</f>
        <v/>
      </c>
      <c r="B229" s="12" t="str">
        <f aca="false">IF(TRIM(A229)="","",IFERROR(MID(SUBSTITUTE(SUBSTITUTE(A229,CHAR(10)," "),CHAR(13)," "),FIND(" MT"," "&amp;SUBSTITUTE(SUBSTITUTE(A229,CHAR(10)," "),CHAR(13)," ")),FIND(" ",SUBSTITUTE(SUBSTITUTE(A229,CHAR(10)," "),CHAR(13)," ")&amp;" ",FIND(" MT"," "&amp;SUBSTITUTE(SUBSTITUTE(A229,CHAR(10)," "),CHAR(13)," ")))-FIND(" MT"," "&amp;SUBSTITUTE(SUBSTITUTE(A229,CHAR(10)," "),CHAR(13)," "))),"MT no encontrado"))</f>
        <v/>
      </c>
      <c r="C229" s="15" t="str">
        <f aca="false">IF(TRIM(A229)="","",IF(D229="",FALSE(),SUBSTITUTE(SUBSTITUTE(SUBSTITUTE(D229,".",""),"0",""),"-","")&lt;&gt;""))</f>
        <v/>
      </c>
      <c r="D229" s="14" t="str">
        <f aca="false">IF(TRIM(A229)="","",IFERROR(MID((" "&amp;LEFT(SUBSTITUTE(A229,CHAR(13),""),FIND(CHAR(10),SUBSTITUTE(A229,CHAR(13),"")&amp;CHAR(10))-1)),(FIND("~",SUBSTITUTE(LEFT((" "&amp;LEFT(SUBSTITUTE(A229,CHAR(13),""),FIND(CHAR(10),SUBSTITUTE(A229,CHAR(13),"")&amp;CHAR(10))-1)),FIND(".",(" "&amp;LEFT(SUBSTITUTE(A229,CHAR(13),""),FIND(CHAR(10),SUBSTITUTE(A229,CHAR(13),"")&amp;CHAR(10))-1))))," ","~",LEN(LEFT((" "&amp;LEFT(SUBSTITUTE(A229,CHAR(13),""),FIND(CHAR(10),SUBSTITUTE(A229,CHAR(13),"")&amp;CHAR(10))-1)),FIND(".",(" "&amp;LEFT(SUBSTITUTE(A229,CHAR(13),""),FIND(CHAR(10),SUBSTITUTE(A229,CHAR(13),"")&amp;CHAR(10))-1)))))-LEN(SUBSTITUTE(LEFT((" "&amp;LEFT(SUBSTITUTE(A229,CHAR(13),""),FIND(CHAR(10),SUBSTITUTE(A229,CHAR(13),"")&amp;CHAR(10))-1)),FIND(".",(" "&amp;LEFT(SUBSTITUTE(A229,CHAR(13),""),FIND(CHAR(10),SUBSTITUTE(A229,CHAR(13),"")&amp;CHAR(10))-1))))," ",""))))+1),FIND(" ",(" "&amp;LEFT(SUBSTITUTE(A229,CHAR(13),""),FIND(CHAR(10),SUBSTITUTE(A229,CHAR(13),"")&amp;CHAR(10))-1))&amp;" ",FIND(".",(" "&amp;LEFT(SUBSTITUTE(A229,CHAR(13),""),FIND(CHAR(10),SUBSTITUTE(A229,CHAR(13),"")&amp;CHAR(10))-1))))-(FIND("~",SUBSTITUTE(LEFT((" "&amp;LEFT(SUBSTITUTE(A229,CHAR(13),""),FIND(CHAR(10),SUBSTITUTE(A229,CHAR(13),"")&amp;CHAR(10))-1)),FIND(".",(" "&amp;LEFT(SUBSTITUTE(A229,CHAR(13),""),FIND(CHAR(10),SUBSTITUTE(A229,CHAR(13),"")&amp;CHAR(10))-1))))," ","~",LEN(LEFT((" "&amp;LEFT(SUBSTITUTE(A229,CHAR(13),""),FIND(CHAR(10),SUBSTITUTE(A229,CHAR(13),"")&amp;CHAR(10))-1)),FIND(".",(" "&amp;LEFT(SUBSTITUTE(A229,CHAR(13),""),FIND(CHAR(10),SUBSTITUTE(A229,CHAR(13),"")&amp;CHAR(10))-1)))))-LEN(SUBSTITUTE(LEFT((" "&amp;LEFT(SUBSTITUTE(A229,CHAR(13),""),FIND(CHAR(10),SUBSTITUTE(A229,CHAR(13),"")&amp;CHAR(10))-1)),FIND(".",(" "&amp;LEFT(SUBSTITUTE(A229,CHAR(13),""),FIND(CHAR(10),SUBSTITUTE(A229,CHAR(13),"")&amp;CHAR(10))-1))))," ",""))))+1)),""))</f>
        <v/>
      </c>
    </row>
    <row r="230" customFormat="false" ht="30" hidden="false" customHeight="true" outlineLevel="0" collapsed="false">
      <c r="A230" s="11" t="str">
        <f aca="false">IFERROR(INDEX(Pegar!$A$3:$A$1002,MATCH(226,Pegar!$B$3:$B$1002,0))&amp;IF(LEFT(INDEX(Pegar!$A$3:$A$1003,MATCH(226,Pegar!$B$3:$B$1002,0)+1),5)="DESC=",CHAR(10)&amp;INDEX(Pegar!$A$3:$A$1003,MATCH(226,Pegar!$B$3:$B$1002,0)+1),""),"")</f>
        <v/>
      </c>
      <c r="B230" s="12" t="str">
        <f aca="false">IF(TRIM(A230)="","",IFERROR(MID(SUBSTITUTE(SUBSTITUTE(A230,CHAR(10)," "),CHAR(13)," "),FIND(" MT"," "&amp;SUBSTITUTE(SUBSTITUTE(A230,CHAR(10)," "),CHAR(13)," ")),FIND(" ",SUBSTITUTE(SUBSTITUTE(A230,CHAR(10)," "),CHAR(13)," ")&amp;" ",FIND(" MT"," "&amp;SUBSTITUTE(SUBSTITUTE(A230,CHAR(10)," "),CHAR(13)," ")))-FIND(" MT"," "&amp;SUBSTITUTE(SUBSTITUTE(A230,CHAR(10)," "),CHAR(13)," "))),"MT no encontrado"))</f>
        <v/>
      </c>
      <c r="C230" s="15" t="str">
        <f aca="false">IF(TRIM(A230)="","",IF(D230="",FALSE(),SUBSTITUTE(SUBSTITUTE(SUBSTITUTE(D230,".",""),"0",""),"-","")&lt;&gt;""))</f>
        <v/>
      </c>
      <c r="D230" s="14" t="str">
        <f aca="false">IF(TRIM(A230)="","",IFERROR(MID((" "&amp;LEFT(SUBSTITUTE(A230,CHAR(13),""),FIND(CHAR(10),SUBSTITUTE(A230,CHAR(13),"")&amp;CHAR(10))-1)),(FIND("~",SUBSTITUTE(LEFT((" "&amp;LEFT(SUBSTITUTE(A230,CHAR(13),""),FIND(CHAR(10),SUBSTITUTE(A230,CHAR(13),"")&amp;CHAR(10))-1)),FIND(".",(" "&amp;LEFT(SUBSTITUTE(A230,CHAR(13),""),FIND(CHAR(10),SUBSTITUTE(A230,CHAR(13),"")&amp;CHAR(10))-1))))," ","~",LEN(LEFT((" "&amp;LEFT(SUBSTITUTE(A230,CHAR(13),""),FIND(CHAR(10),SUBSTITUTE(A230,CHAR(13),"")&amp;CHAR(10))-1)),FIND(".",(" "&amp;LEFT(SUBSTITUTE(A230,CHAR(13),""),FIND(CHAR(10),SUBSTITUTE(A230,CHAR(13),"")&amp;CHAR(10))-1)))))-LEN(SUBSTITUTE(LEFT((" "&amp;LEFT(SUBSTITUTE(A230,CHAR(13),""),FIND(CHAR(10),SUBSTITUTE(A230,CHAR(13),"")&amp;CHAR(10))-1)),FIND(".",(" "&amp;LEFT(SUBSTITUTE(A230,CHAR(13),""),FIND(CHAR(10),SUBSTITUTE(A230,CHAR(13),"")&amp;CHAR(10))-1))))," ",""))))+1),FIND(" ",(" "&amp;LEFT(SUBSTITUTE(A230,CHAR(13),""),FIND(CHAR(10),SUBSTITUTE(A230,CHAR(13),"")&amp;CHAR(10))-1))&amp;" ",FIND(".",(" "&amp;LEFT(SUBSTITUTE(A230,CHAR(13),""),FIND(CHAR(10),SUBSTITUTE(A230,CHAR(13),"")&amp;CHAR(10))-1))))-(FIND("~",SUBSTITUTE(LEFT((" "&amp;LEFT(SUBSTITUTE(A230,CHAR(13),""),FIND(CHAR(10),SUBSTITUTE(A230,CHAR(13),"")&amp;CHAR(10))-1)),FIND(".",(" "&amp;LEFT(SUBSTITUTE(A230,CHAR(13),""),FIND(CHAR(10),SUBSTITUTE(A230,CHAR(13),"")&amp;CHAR(10))-1))))," ","~",LEN(LEFT((" "&amp;LEFT(SUBSTITUTE(A230,CHAR(13),""),FIND(CHAR(10),SUBSTITUTE(A230,CHAR(13),"")&amp;CHAR(10))-1)),FIND(".",(" "&amp;LEFT(SUBSTITUTE(A230,CHAR(13),""),FIND(CHAR(10),SUBSTITUTE(A230,CHAR(13),"")&amp;CHAR(10))-1)))))-LEN(SUBSTITUTE(LEFT((" "&amp;LEFT(SUBSTITUTE(A230,CHAR(13),""),FIND(CHAR(10),SUBSTITUTE(A230,CHAR(13),"")&amp;CHAR(10))-1)),FIND(".",(" "&amp;LEFT(SUBSTITUTE(A230,CHAR(13),""),FIND(CHAR(10),SUBSTITUTE(A230,CHAR(13),"")&amp;CHAR(10))-1))))," ",""))))+1)),""))</f>
        <v/>
      </c>
    </row>
    <row r="231" customFormat="false" ht="30" hidden="false" customHeight="true" outlineLevel="0" collapsed="false">
      <c r="A231" s="11" t="str">
        <f aca="false">IFERROR(INDEX(Pegar!$A$3:$A$1002,MATCH(227,Pegar!$B$3:$B$1002,0))&amp;IF(LEFT(INDEX(Pegar!$A$3:$A$1003,MATCH(227,Pegar!$B$3:$B$1002,0)+1),5)="DESC=",CHAR(10)&amp;INDEX(Pegar!$A$3:$A$1003,MATCH(227,Pegar!$B$3:$B$1002,0)+1),""),"")</f>
        <v/>
      </c>
      <c r="B231" s="12" t="str">
        <f aca="false">IF(TRIM(A231)="","",IFERROR(MID(SUBSTITUTE(SUBSTITUTE(A231,CHAR(10)," "),CHAR(13)," "),FIND(" MT"," "&amp;SUBSTITUTE(SUBSTITUTE(A231,CHAR(10)," "),CHAR(13)," ")),FIND(" ",SUBSTITUTE(SUBSTITUTE(A231,CHAR(10)," "),CHAR(13)," ")&amp;" ",FIND(" MT"," "&amp;SUBSTITUTE(SUBSTITUTE(A231,CHAR(10)," "),CHAR(13)," ")))-FIND(" MT"," "&amp;SUBSTITUTE(SUBSTITUTE(A231,CHAR(10)," "),CHAR(13)," "))),"MT no encontrado"))</f>
        <v/>
      </c>
      <c r="C231" s="15" t="str">
        <f aca="false">IF(TRIM(A231)="","",IF(D231="",FALSE(),SUBSTITUTE(SUBSTITUTE(SUBSTITUTE(D231,".",""),"0",""),"-","")&lt;&gt;""))</f>
        <v/>
      </c>
      <c r="D231" s="14" t="str">
        <f aca="false">IF(TRIM(A231)="","",IFERROR(MID((" "&amp;LEFT(SUBSTITUTE(A231,CHAR(13),""),FIND(CHAR(10),SUBSTITUTE(A231,CHAR(13),"")&amp;CHAR(10))-1)),(FIND("~",SUBSTITUTE(LEFT((" "&amp;LEFT(SUBSTITUTE(A231,CHAR(13),""),FIND(CHAR(10),SUBSTITUTE(A231,CHAR(13),"")&amp;CHAR(10))-1)),FIND(".",(" "&amp;LEFT(SUBSTITUTE(A231,CHAR(13),""),FIND(CHAR(10),SUBSTITUTE(A231,CHAR(13),"")&amp;CHAR(10))-1))))," ","~",LEN(LEFT((" "&amp;LEFT(SUBSTITUTE(A231,CHAR(13),""),FIND(CHAR(10),SUBSTITUTE(A231,CHAR(13),"")&amp;CHAR(10))-1)),FIND(".",(" "&amp;LEFT(SUBSTITUTE(A231,CHAR(13),""),FIND(CHAR(10),SUBSTITUTE(A231,CHAR(13),"")&amp;CHAR(10))-1)))))-LEN(SUBSTITUTE(LEFT((" "&amp;LEFT(SUBSTITUTE(A231,CHAR(13),""),FIND(CHAR(10),SUBSTITUTE(A231,CHAR(13),"")&amp;CHAR(10))-1)),FIND(".",(" "&amp;LEFT(SUBSTITUTE(A231,CHAR(13),""),FIND(CHAR(10),SUBSTITUTE(A231,CHAR(13),"")&amp;CHAR(10))-1))))," ",""))))+1),FIND(" ",(" "&amp;LEFT(SUBSTITUTE(A231,CHAR(13),""),FIND(CHAR(10),SUBSTITUTE(A231,CHAR(13),"")&amp;CHAR(10))-1))&amp;" ",FIND(".",(" "&amp;LEFT(SUBSTITUTE(A231,CHAR(13),""),FIND(CHAR(10),SUBSTITUTE(A231,CHAR(13),"")&amp;CHAR(10))-1))))-(FIND("~",SUBSTITUTE(LEFT((" "&amp;LEFT(SUBSTITUTE(A231,CHAR(13),""),FIND(CHAR(10),SUBSTITUTE(A231,CHAR(13),"")&amp;CHAR(10))-1)),FIND(".",(" "&amp;LEFT(SUBSTITUTE(A231,CHAR(13),""),FIND(CHAR(10),SUBSTITUTE(A231,CHAR(13),"")&amp;CHAR(10))-1))))," ","~",LEN(LEFT((" "&amp;LEFT(SUBSTITUTE(A231,CHAR(13),""),FIND(CHAR(10),SUBSTITUTE(A231,CHAR(13),"")&amp;CHAR(10))-1)),FIND(".",(" "&amp;LEFT(SUBSTITUTE(A231,CHAR(13),""),FIND(CHAR(10),SUBSTITUTE(A231,CHAR(13),"")&amp;CHAR(10))-1)))))-LEN(SUBSTITUTE(LEFT((" "&amp;LEFT(SUBSTITUTE(A231,CHAR(13),""),FIND(CHAR(10),SUBSTITUTE(A231,CHAR(13),"")&amp;CHAR(10))-1)),FIND(".",(" "&amp;LEFT(SUBSTITUTE(A231,CHAR(13),""),FIND(CHAR(10),SUBSTITUTE(A231,CHAR(13),"")&amp;CHAR(10))-1))))," ",""))))+1)),""))</f>
        <v/>
      </c>
    </row>
    <row r="232" customFormat="false" ht="30" hidden="false" customHeight="true" outlineLevel="0" collapsed="false">
      <c r="A232" s="11" t="str">
        <f aca="false">IFERROR(INDEX(Pegar!$A$3:$A$1002,MATCH(228,Pegar!$B$3:$B$1002,0))&amp;IF(LEFT(INDEX(Pegar!$A$3:$A$1003,MATCH(228,Pegar!$B$3:$B$1002,0)+1),5)="DESC=",CHAR(10)&amp;INDEX(Pegar!$A$3:$A$1003,MATCH(228,Pegar!$B$3:$B$1002,0)+1),""),"")</f>
        <v/>
      </c>
      <c r="B232" s="12" t="str">
        <f aca="false">IF(TRIM(A232)="","",IFERROR(MID(SUBSTITUTE(SUBSTITUTE(A232,CHAR(10)," "),CHAR(13)," "),FIND(" MT"," "&amp;SUBSTITUTE(SUBSTITUTE(A232,CHAR(10)," "),CHAR(13)," ")),FIND(" ",SUBSTITUTE(SUBSTITUTE(A232,CHAR(10)," "),CHAR(13)," ")&amp;" ",FIND(" MT"," "&amp;SUBSTITUTE(SUBSTITUTE(A232,CHAR(10)," "),CHAR(13)," ")))-FIND(" MT"," "&amp;SUBSTITUTE(SUBSTITUTE(A232,CHAR(10)," "),CHAR(13)," "))),"MT no encontrado"))</f>
        <v/>
      </c>
      <c r="C232" s="15" t="str">
        <f aca="false">IF(TRIM(A232)="","",IF(D232="",FALSE(),SUBSTITUTE(SUBSTITUTE(SUBSTITUTE(D232,".",""),"0",""),"-","")&lt;&gt;""))</f>
        <v/>
      </c>
      <c r="D232" s="14" t="str">
        <f aca="false">IF(TRIM(A232)="","",IFERROR(MID((" "&amp;LEFT(SUBSTITUTE(A232,CHAR(13),""),FIND(CHAR(10),SUBSTITUTE(A232,CHAR(13),"")&amp;CHAR(10))-1)),(FIND("~",SUBSTITUTE(LEFT((" "&amp;LEFT(SUBSTITUTE(A232,CHAR(13),""),FIND(CHAR(10),SUBSTITUTE(A232,CHAR(13),"")&amp;CHAR(10))-1)),FIND(".",(" "&amp;LEFT(SUBSTITUTE(A232,CHAR(13),""),FIND(CHAR(10),SUBSTITUTE(A232,CHAR(13),"")&amp;CHAR(10))-1))))," ","~",LEN(LEFT((" "&amp;LEFT(SUBSTITUTE(A232,CHAR(13),""),FIND(CHAR(10),SUBSTITUTE(A232,CHAR(13),"")&amp;CHAR(10))-1)),FIND(".",(" "&amp;LEFT(SUBSTITUTE(A232,CHAR(13),""),FIND(CHAR(10),SUBSTITUTE(A232,CHAR(13),"")&amp;CHAR(10))-1)))))-LEN(SUBSTITUTE(LEFT((" "&amp;LEFT(SUBSTITUTE(A232,CHAR(13),""),FIND(CHAR(10),SUBSTITUTE(A232,CHAR(13),"")&amp;CHAR(10))-1)),FIND(".",(" "&amp;LEFT(SUBSTITUTE(A232,CHAR(13),""),FIND(CHAR(10),SUBSTITUTE(A232,CHAR(13),"")&amp;CHAR(10))-1))))," ",""))))+1),FIND(" ",(" "&amp;LEFT(SUBSTITUTE(A232,CHAR(13),""),FIND(CHAR(10),SUBSTITUTE(A232,CHAR(13),"")&amp;CHAR(10))-1))&amp;" ",FIND(".",(" "&amp;LEFT(SUBSTITUTE(A232,CHAR(13),""),FIND(CHAR(10),SUBSTITUTE(A232,CHAR(13),"")&amp;CHAR(10))-1))))-(FIND("~",SUBSTITUTE(LEFT((" "&amp;LEFT(SUBSTITUTE(A232,CHAR(13),""),FIND(CHAR(10),SUBSTITUTE(A232,CHAR(13),"")&amp;CHAR(10))-1)),FIND(".",(" "&amp;LEFT(SUBSTITUTE(A232,CHAR(13),""),FIND(CHAR(10),SUBSTITUTE(A232,CHAR(13),"")&amp;CHAR(10))-1))))," ","~",LEN(LEFT((" "&amp;LEFT(SUBSTITUTE(A232,CHAR(13),""),FIND(CHAR(10),SUBSTITUTE(A232,CHAR(13),"")&amp;CHAR(10))-1)),FIND(".",(" "&amp;LEFT(SUBSTITUTE(A232,CHAR(13),""),FIND(CHAR(10),SUBSTITUTE(A232,CHAR(13),"")&amp;CHAR(10))-1)))))-LEN(SUBSTITUTE(LEFT((" "&amp;LEFT(SUBSTITUTE(A232,CHAR(13),""),FIND(CHAR(10),SUBSTITUTE(A232,CHAR(13),"")&amp;CHAR(10))-1)),FIND(".",(" "&amp;LEFT(SUBSTITUTE(A232,CHAR(13),""),FIND(CHAR(10),SUBSTITUTE(A232,CHAR(13),"")&amp;CHAR(10))-1))))," ",""))))+1)),""))</f>
        <v/>
      </c>
    </row>
    <row r="233" customFormat="false" ht="30" hidden="false" customHeight="true" outlineLevel="0" collapsed="false">
      <c r="A233" s="11" t="str">
        <f aca="false">IFERROR(INDEX(Pegar!$A$3:$A$1002,MATCH(229,Pegar!$B$3:$B$1002,0))&amp;IF(LEFT(INDEX(Pegar!$A$3:$A$1003,MATCH(229,Pegar!$B$3:$B$1002,0)+1),5)="DESC=",CHAR(10)&amp;INDEX(Pegar!$A$3:$A$1003,MATCH(229,Pegar!$B$3:$B$1002,0)+1),""),"")</f>
        <v/>
      </c>
      <c r="B233" s="12" t="str">
        <f aca="false">IF(TRIM(A233)="","",IFERROR(MID(SUBSTITUTE(SUBSTITUTE(A233,CHAR(10)," "),CHAR(13)," "),FIND(" MT"," "&amp;SUBSTITUTE(SUBSTITUTE(A233,CHAR(10)," "),CHAR(13)," ")),FIND(" ",SUBSTITUTE(SUBSTITUTE(A233,CHAR(10)," "),CHAR(13)," ")&amp;" ",FIND(" MT"," "&amp;SUBSTITUTE(SUBSTITUTE(A233,CHAR(10)," "),CHAR(13)," ")))-FIND(" MT"," "&amp;SUBSTITUTE(SUBSTITUTE(A233,CHAR(10)," "),CHAR(13)," "))),"MT no encontrado"))</f>
        <v/>
      </c>
      <c r="C233" s="15" t="str">
        <f aca="false">IF(TRIM(A233)="","",IF(D233="",FALSE(),SUBSTITUTE(SUBSTITUTE(SUBSTITUTE(D233,".",""),"0",""),"-","")&lt;&gt;""))</f>
        <v/>
      </c>
      <c r="D233" s="14" t="str">
        <f aca="false">IF(TRIM(A233)="","",IFERROR(MID((" "&amp;LEFT(SUBSTITUTE(A233,CHAR(13),""),FIND(CHAR(10),SUBSTITUTE(A233,CHAR(13),"")&amp;CHAR(10))-1)),(FIND("~",SUBSTITUTE(LEFT((" "&amp;LEFT(SUBSTITUTE(A233,CHAR(13),""),FIND(CHAR(10),SUBSTITUTE(A233,CHAR(13),"")&amp;CHAR(10))-1)),FIND(".",(" "&amp;LEFT(SUBSTITUTE(A233,CHAR(13),""),FIND(CHAR(10),SUBSTITUTE(A233,CHAR(13),"")&amp;CHAR(10))-1))))," ","~",LEN(LEFT((" "&amp;LEFT(SUBSTITUTE(A233,CHAR(13),""),FIND(CHAR(10),SUBSTITUTE(A233,CHAR(13),"")&amp;CHAR(10))-1)),FIND(".",(" "&amp;LEFT(SUBSTITUTE(A233,CHAR(13),""),FIND(CHAR(10),SUBSTITUTE(A233,CHAR(13),"")&amp;CHAR(10))-1)))))-LEN(SUBSTITUTE(LEFT((" "&amp;LEFT(SUBSTITUTE(A233,CHAR(13),""),FIND(CHAR(10),SUBSTITUTE(A233,CHAR(13),"")&amp;CHAR(10))-1)),FIND(".",(" "&amp;LEFT(SUBSTITUTE(A233,CHAR(13),""),FIND(CHAR(10),SUBSTITUTE(A233,CHAR(13),"")&amp;CHAR(10))-1))))," ",""))))+1),FIND(" ",(" "&amp;LEFT(SUBSTITUTE(A233,CHAR(13),""),FIND(CHAR(10),SUBSTITUTE(A233,CHAR(13),"")&amp;CHAR(10))-1))&amp;" ",FIND(".",(" "&amp;LEFT(SUBSTITUTE(A233,CHAR(13),""),FIND(CHAR(10),SUBSTITUTE(A233,CHAR(13),"")&amp;CHAR(10))-1))))-(FIND("~",SUBSTITUTE(LEFT((" "&amp;LEFT(SUBSTITUTE(A233,CHAR(13),""),FIND(CHAR(10),SUBSTITUTE(A233,CHAR(13),"")&amp;CHAR(10))-1)),FIND(".",(" "&amp;LEFT(SUBSTITUTE(A233,CHAR(13),""),FIND(CHAR(10),SUBSTITUTE(A233,CHAR(13),"")&amp;CHAR(10))-1))))," ","~",LEN(LEFT((" "&amp;LEFT(SUBSTITUTE(A233,CHAR(13),""),FIND(CHAR(10),SUBSTITUTE(A233,CHAR(13),"")&amp;CHAR(10))-1)),FIND(".",(" "&amp;LEFT(SUBSTITUTE(A233,CHAR(13),""),FIND(CHAR(10),SUBSTITUTE(A233,CHAR(13),"")&amp;CHAR(10))-1)))))-LEN(SUBSTITUTE(LEFT((" "&amp;LEFT(SUBSTITUTE(A233,CHAR(13),""),FIND(CHAR(10),SUBSTITUTE(A233,CHAR(13),"")&amp;CHAR(10))-1)),FIND(".",(" "&amp;LEFT(SUBSTITUTE(A233,CHAR(13),""),FIND(CHAR(10),SUBSTITUTE(A233,CHAR(13),"")&amp;CHAR(10))-1))))," ",""))))+1)),""))</f>
        <v/>
      </c>
    </row>
    <row r="234" customFormat="false" ht="30" hidden="false" customHeight="true" outlineLevel="0" collapsed="false">
      <c r="A234" s="11" t="str">
        <f aca="false">IFERROR(INDEX(Pegar!$A$3:$A$1002,MATCH(230,Pegar!$B$3:$B$1002,0))&amp;IF(LEFT(INDEX(Pegar!$A$3:$A$1003,MATCH(230,Pegar!$B$3:$B$1002,0)+1),5)="DESC=",CHAR(10)&amp;INDEX(Pegar!$A$3:$A$1003,MATCH(230,Pegar!$B$3:$B$1002,0)+1),""),"")</f>
        <v/>
      </c>
      <c r="B234" s="12" t="str">
        <f aca="false">IF(TRIM(A234)="","",IFERROR(MID(SUBSTITUTE(SUBSTITUTE(A234,CHAR(10)," "),CHAR(13)," "),FIND(" MT"," "&amp;SUBSTITUTE(SUBSTITUTE(A234,CHAR(10)," "),CHAR(13)," ")),FIND(" ",SUBSTITUTE(SUBSTITUTE(A234,CHAR(10)," "),CHAR(13)," ")&amp;" ",FIND(" MT"," "&amp;SUBSTITUTE(SUBSTITUTE(A234,CHAR(10)," "),CHAR(13)," ")))-FIND(" MT"," "&amp;SUBSTITUTE(SUBSTITUTE(A234,CHAR(10)," "),CHAR(13)," "))),"MT no encontrado"))</f>
        <v/>
      </c>
      <c r="C234" s="15" t="str">
        <f aca="false">IF(TRIM(A234)="","",IF(D234="",FALSE(),SUBSTITUTE(SUBSTITUTE(SUBSTITUTE(D234,".",""),"0",""),"-","")&lt;&gt;""))</f>
        <v/>
      </c>
      <c r="D234" s="14" t="str">
        <f aca="false">IF(TRIM(A234)="","",IFERROR(MID((" "&amp;LEFT(SUBSTITUTE(A234,CHAR(13),""),FIND(CHAR(10),SUBSTITUTE(A234,CHAR(13),"")&amp;CHAR(10))-1)),(FIND("~",SUBSTITUTE(LEFT((" "&amp;LEFT(SUBSTITUTE(A234,CHAR(13),""),FIND(CHAR(10),SUBSTITUTE(A234,CHAR(13),"")&amp;CHAR(10))-1)),FIND(".",(" "&amp;LEFT(SUBSTITUTE(A234,CHAR(13),""),FIND(CHAR(10),SUBSTITUTE(A234,CHAR(13),"")&amp;CHAR(10))-1))))," ","~",LEN(LEFT((" "&amp;LEFT(SUBSTITUTE(A234,CHAR(13),""),FIND(CHAR(10),SUBSTITUTE(A234,CHAR(13),"")&amp;CHAR(10))-1)),FIND(".",(" "&amp;LEFT(SUBSTITUTE(A234,CHAR(13),""),FIND(CHAR(10),SUBSTITUTE(A234,CHAR(13),"")&amp;CHAR(10))-1)))))-LEN(SUBSTITUTE(LEFT((" "&amp;LEFT(SUBSTITUTE(A234,CHAR(13),""),FIND(CHAR(10),SUBSTITUTE(A234,CHAR(13),"")&amp;CHAR(10))-1)),FIND(".",(" "&amp;LEFT(SUBSTITUTE(A234,CHAR(13),""),FIND(CHAR(10),SUBSTITUTE(A234,CHAR(13),"")&amp;CHAR(10))-1))))," ",""))))+1),FIND(" ",(" "&amp;LEFT(SUBSTITUTE(A234,CHAR(13),""),FIND(CHAR(10),SUBSTITUTE(A234,CHAR(13),"")&amp;CHAR(10))-1))&amp;" ",FIND(".",(" "&amp;LEFT(SUBSTITUTE(A234,CHAR(13),""),FIND(CHAR(10),SUBSTITUTE(A234,CHAR(13),"")&amp;CHAR(10))-1))))-(FIND("~",SUBSTITUTE(LEFT((" "&amp;LEFT(SUBSTITUTE(A234,CHAR(13),""),FIND(CHAR(10),SUBSTITUTE(A234,CHAR(13),"")&amp;CHAR(10))-1)),FIND(".",(" "&amp;LEFT(SUBSTITUTE(A234,CHAR(13),""),FIND(CHAR(10),SUBSTITUTE(A234,CHAR(13),"")&amp;CHAR(10))-1))))," ","~",LEN(LEFT((" "&amp;LEFT(SUBSTITUTE(A234,CHAR(13),""),FIND(CHAR(10),SUBSTITUTE(A234,CHAR(13),"")&amp;CHAR(10))-1)),FIND(".",(" "&amp;LEFT(SUBSTITUTE(A234,CHAR(13),""),FIND(CHAR(10),SUBSTITUTE(A234,CHAR(13),"")&amp;CHAR(10))-1)))))-LEN(SUBSTITUTE(LEFT((" "&amp;LEFT(SUBSTITUTE(A234,CHAR(13),""),FIND(CHAR(10),SUBSTITUTE(A234,CHAR(13),"")&amp;CHAR(10))-1)),FIND(".",(" "&amp;LEFT(SUBSTITUTE(A234,CHAR(13),""),FIND(CHAR(10),SUBSTITUTE(A234,CHAR(13),"")&amp;CHAR(10))-1))))," ",""))))+1)),""))</f>
        <v/>
      </c>
    </row>
    <row r="235" customFormat="false" ht="30" hidden="false" customHeight="true" outlineLevel="0" collapsed="false">
      <c r="A235" s="11" t="str">
        <f aca="false">IFERROR(INDEX(Pegar!$A$3:$A$1002,MATCH(231,Pegar!$B$3:$B$1002,0))&amp;IF(LEFT(INDEX(Pegar!$A$3:$A$1003,MATCH(231,Pegar!$B$3:$B$1002,0)+1),5)="DESC=",CHAR(10)&amp;INDEX(Pegar!$A$3:$A$1003,MATCH(231,Pegar!$B$3:$B$1002,0)+1),""),"")</f>
        <v/>
      </c>
      <c r="B235" s="12" t="str">
        <f aca="false">IF(TRIM(A235)="","",IFERROR(MID(SUBSTITUTE(SUBSTITUTE(A235,CHAR(10)," "),CHAR(13)," "),FIND(" MT"," "&amp;SUBSTITUTE(SUBSTITUTE(A235,CHAR(10)," "),CHAR(13)," ")),FIND(" ",SUBSTITUTE(SUBSTITUTE(A235,CHAR(10)," "),CHAR(13)," ")&amp;" ",FIND(" MT"," "&amp;SUBSTITUTE(SUBSTITUTE(A235,CHAR(10)," "),CHAR(13)," ")))-FIND(" MT"," "&amp;SUBSTITUTE(SUBSTITUTE(A235,CHAR(10)," "),CHAR(13)," "))),"MT no encontrado"))</f>
        <v/>
      </c>
      <c r="C235" s="15" t="str">
        <f aca="false">IF(TRIM(A235)="","",IF(D235="",FALSE(),SUBSTITUTE(SUBSTITUTE(SUBSTITUTE(D235,".",""),"0",""),"-","")&lt;&gt;""))</f>
        <v/>
      </c>
      <c r="D235" s="14" t="str">
        <f aca="false">IF(TRIM(A235)="","",IFERROR(MID((" "&amp;LEFT(SUBSTITUTE(A235,CHAR(13),""),FIND(CHAR(10),SUBSTITUTE(A235,CHAR(13),"")&amp;CHAR(10))-1)),(FIND("~",SUBSTITUTE(LEFT((" "&amp;LEFT(SUBSTITUTE(A235,CHAR(13),""),FIND(CHAR(10),SUBSTITUTE(A235,CHAR(13),"")&amp;CHAR(10))-1)),FIND(".",(" "&amp;LEFT(SUBSTITUTE(A235,CHAR(13),""),FIND(CHAR(10),SUBSTITUTE(A235,CHAR(13),"")&amp;CHAR(10))-1))))," ","~",LEN(LEFT((" "&amp;LEFT(SUBSTITUTE(A235,CHAR(13),""),FIND(CHAR(10),SUBSTITUTE(A235,CHAR(13),"")&amp;CHAR(10))-1)),FIND(".",(" "&amp;LEFT(SUBSTITUTE(A235,CHAR(13),""),FIND(CHAR(10),SUBSTITUTE(A235,CHAR(13),"")&amp;CHAR(10))-1)))))-LEN(SUBSTITUTE(LEFT((" "&amp;LEFT(SUBSTITUTE(A235,CHAR(13),""),FIND(CHAR(10),SUBSTITUTE(A235,CHAR(13),"")&amp;CHAR(10))-1)),FIND(".",(" "&amp;LEFT(SUBSTITUTE(A235,CHAR(13),""),FIND(CHAR(10),SUBSTITUTE(A235,CHAR(13),"")&amp;CHAR(10))-1))))," ",""))))+1),FIND(" ",(" "&amp;LEFT(SUBSTITUTE(A235,CHAR(13),""),FIND(CHAR(10),SUBSTITUTE(A235,CHAR(13),"")&amp;CHAR(10))-1))&amp;" ",FIND(".",(" "&amp;LEFT(SUBSTITUTE(A235,CHAR(13),""),FIND(CHAR(10),SUBSTITUTE(A235,CHAR(13),"")&amp;CHAR(10))-1))))-(FIND("~",SUBSTITUTE(LEFT((" "&amp;LEFT(SUBSTITUTE(A235,CHAR(13),""),FIND(CHAR(10),SUBSTITUTE(A235,CHAR(13),"")&amp;CHAR(10))-1)),FIND(".",(" "&amp;LEFT(SUBSTITUTE(A235,CHAR(13),""),FIND(CHAR(10),SUBSTITUTE(A235,CHAR(13),"")&amp;CHAR(10))-1))))," ","~",LEN(LEFT((" "&amp;LEFT(SUBSTITUTE(A235,CHAR(13),""),FIND(CHAR(10),SUBSTITUTE(A235,CHAR(13),"")&amp;CHAR(10))-1)),FIND(".",(" "&amp;LEFT(SUBSTITUTE(A235,CHAR(13),""),FIND(CHAR(10),SUBSTITUTE(A235,CHAR(13),"")&amp;CHAR(10))-1)))))-LEN(SUBSTITUTE(LEFT((" "&amp;LEFT(SUBSTITUTE(A235,CHAR(13),""),FIND(CHAR(10),SUBSTITUTE(A235,CHAR(13),"")&amp;CHAR(10))-1)),FIND(".",(" "&amp;LEFT(SUBSTITUTE(A235,CHAR(13),""),FIND(CHAR(10),SUBSTITUTE(A235,CHAR(13),"")&amp;CHAR(10))-1))))," ",""))))+1)),""))</f>
        <v/>
      </c>
    </row>
    <row r="236" customFormat="false" ht="30" hidden="false" customHeight="true" outlineLevel="0" collapsed="false">
      <c r="A236" s="11" t="str">
        <f aca="false">IFERROR(INDEX(Pegar!$A$3:$A$1002,MATCH(232,Pegar!$B$3:$B$1002,0))&amp;IF(LEFT(INDEX(Pegar!$A$3:$A$1003,MATCH(232,Pegar!$B$3:$B$1002,0)+1),5)="DESC=",CHAR(10)&amp;INDEX(Pegar!$A$3:$A$1003,MATCH(232,Pegar!$B$3:$B$1002,0)+1),""),"")</f>
        <v/>
      </c>
      <c r="B236" s="12" t="str">
        <f aca="false">IF(TRIM(A236)="","",IFERROR(MID(SUBSTITUTE(SUBSTITUTE(A236,CHAR(10)," "),CHAR(13)," "),FIND(" MT"," "&amp;SUBSTITUTE(SUBSTITUTE(A236,CHAR(10)," "),CHAR(13)," ")),FIND(" ",SUBSTITUTE(SUBSTITUTE(A236,CHAR(10)," "),CHAR(13)," ")&amp;" ",FIND(" MT"," "&amp;SUBSTITUTE(SUBSTITUTE(A236,CHAR(10)," "),CHAR(13)," ")))-FIND(" MT"," "&amp;SUBSTITUTE(SUBSTITUTE(A236,CHAR(10)," "),CHAR(13)," "))),"MT no encontrado"))</f>
        <v/>
      </c>
      <c r="C236" s="15" t="str">
        <f aca="false">IF(TRIM(A236)="","",IF(D236="",FALSE(),SUBSTITUTE(SUBSTITUTE(SUBSTITUTE(D236,".",""),"0",""),"-","")&lt;&gt;""))</f>
        <v/>
      </c>
      <c r="D236" s="14" t="str">
        <f aca="false">IF(TRIM(A236)="","",IFERROR(MID((" "&amp;LEFT(SUBSTITUTE(A236,CHAR(13),""),FIND(CHAR(10),SUBSTITUTE(A236,CHAR(13),"")&amp;CHAR(10))-1)),(FIND("~",SUBSTITUTE(LEFT((" "&amp;LEFT(SUBSTITUTE(A236,CHAR(13),""),FIND(CHAR(10),SUBSTITUTE(A236,CHAR(13),"")&amp;CHAR(10))-1)),FIND(".",(" "&amp;LEFT(SUBSTITUTE(A236,CHAR(13),""),FIND(CHAR(10),SUBSTITUTE(A236,CHAR(13),"")&amp;CHAR(10))-1))))," ","~",LEN(LEFT((" "&amp;LEFT(SUBSTITUTE(A236,CHAR(13),""),FIND(CHAR(10),SUBSTITUTE(A236,CHAR(13),"")&amp;CHAR(10))-1)),FIND(".",(" "&amp;LEFT(SUBSTITUTE(A236,CHAR(13),""),FIND(CHAR(10),SUBSTITUTE(A236,CHAR(13),"")&amp;CHAR(10))-1)))))-LEN(SUBSTITUTE(LEFT((" "&amp;LEFT(SUBSTITUTE(A236,CHAR(13),""),FIND(CHAR(10),SUBSTITUTE(A236,CHAR(13),"")&amp;CHAR(10))-1)),FIND(".",(" "&amp;LEFT(SUBSTITUTE(A236,CHAR(13),""),FIND(CHAR(10),SUBSTITUTE(A236,CHAR(13),"")&amp;CHAR(10))-1))))," ",""))))+1),FIND(" ",(" "&amp;LEFT(SUBSTITUTE(A236,CHAR(13),""),FIND(CHAR(10),SUBSTITUTE(A236,CHAR(13),"")&amp;CHAR(10))-1))&amp;" ",FIND(".",(" "&amp;LEFT(SUBSTITUTE(A236,CHAR(13),""),FIND(CHAR(10),SUBSTITUTE(A236,CHAR(13),"")&amp;CHAR(10))-1))))-(FIND("~",SUBSTITUTE(LEFT((" "&amp;LEFT(SUBSTITUTE(A236,CHAR(13),""),FIND(CHAR(10),SUBSTITUTE(A236,CHAR(13),"")&amp;CHAR(10))-1)),FIND(".",(" "&amp;LEFT(SUBSTITUTE(A236,CHAR(13),""),FIND(CHAR(10),SUBSTITUTE(A236,CHAR(13),"")&amp;CHAR(10))-1))))," ","~",LEN(LEFT((" "&amp;LEFT(SUBSTITUTE(A236,CHAR(13),""),FIND(CHAR(10),SUBSTITUTE(A236,CHAR(13),"")&amp;CHAR(10))-1)),FIND(".",(" "&amp;LEFT(SUBSTITUTE(A236,CHAR(13),""),FIND(CHAR(10),SUBSTITUTE(A236,CHAR(13),"")&amp;CHAR(10))-1)))))-LEN(SUBSTITUTE(LEFT((" "&amp;LEFT(SUBSTITUTE(A236,CHAR(13),""),FIND(CHAR(10),SUBSTITUTE(A236,CHAR(13),"")&amp;CHAR(10))-1)),FIND(".",(" "&amp;LEFT(SUBSTITUTE(A236,CHAR(13),""),FIND(CHAR(10),SUBSTITUTE(A236,CHAR(13),"")&amp;CHAR(10))-1))))," ",""))))+1)),""))</f>
        <v/>
      </c>
    </row>
    <row r="237" customFormat="false" ht="30" hidden="false" customHeight="true" outlineLevel="0" collapsed="false">
      <c r="A237" s="11" t="str">
        <f aca="false">IFERROR(INDEX(Pegar!$A$3:$A$1002,MATCH(233,Pegar!$B$3:$B$1002,0))&amp;IF(LEFT(INDEX(Pegar!$A$3:$A$1003,MATCH(233,Pegar!$B$3:$B$1002,0)+1),5)="DESC=",CHAR(10)&amp;INDEX(Pegar!$A$3:$A$1003,MATCH(233,Pegar!$B$3:$B$1002,0)+1),""),"")</f>
        <v/>
      </c>
      <c r="B237" s="12" t="str">
        <f aca="false">IF(TRIM(A237)="","",IFERROR(MID(SUBSTITUTE(SUBSTITUTE(A237,CHAR(10)," "),CHAR(13)," "),FIND(" MT"," "&amp;SUBSTITUTE(SUBSTITUTE(A237,CHAR(10)," "),CHAR(13)," ")),FIND(" ",SUBSTITUTE(SUBSTITUTE(A237,CHAR(10)," "),CHAR(13)," ")&amp;" ",FIND(" MT"," "&amp;SUBSTITUTE(SUBSTITUTE(A237,CHAR(10)," "),CHAR(13)," ")))-FIND(" MT"," "&amp;SUBSTITUTE(SUBSTITUTE(A237,CHAR(10)," "),CHAR(13)," "))),"MT no encontrado"))</f>
        <v/>
      </c>
      <c r="C237" s="15" t="str">
        <f aca="false">IF(TRIM(A237)="","",IF(D237="",FALSE(),SUBSTITUTE(SUBSTITUTE(SUBSTITUTE(D237,".",""),"0",""),"-","")&lt;&gt;""))</f>
        <v/>
      </c>
      <c r="D237" s="14" t="str">
        <f aca="false">IF(TRIM(A237)="","",IFERROR(MID((" "&amp;LEFT(SUBSTITUTE(A237,CHAR(13),""),FIND(CHAR(10),SUBSTITUTE(A237,CHAR(13),"")&amp;CHAR(10))-1)),(FIND("~",SUBSTITUTE(LEFT((" "&amp;LEFT(SUBSTITUTE(A237,CHAR(13),""),FIND(CHAR(10),SUBSTITUTE(A237,CHAR(13),"")&amp;CHAR(10))-1)),FIND(".",(" "&amp;LEFT(SUBSTITUTE(A237,CHAR(13),""),FIND(CHAR(10),SUBSTITUTE(A237,CHAR(13),"")&amp;CHAR(10))-1))))," ","~",LEN(LEFT((" "&amp;LEFT(SUBSTITUTE(A237,CHAR(13),""),FIND(CHAR(10),SUBSTITUTE(A237,CHAR(13),"")&amp;CHAR(10))-1)),FIND(".",(" "&amp;LEFT(SUBSTITUTE(A237,CHAR(13),""),FIND(CHAR(10),SUBSTITUTE(A237,CHAR(13),"")&amp;CHAR(10))-1)))))-LEN(SUBSTITUTE(LEFT((" "&amp;LEFT(SUBSTITUTE(A237,CHAR(13),""),FIND(CHAR(10),SUBSTITUTE(A237,CHAR(13),"")&amp;CHAR(10))-1)),FIND(".",(" "&amp;LEFT(SUBSTITUTE(A237,CHAR(13),""),FIND(CHAR(10),SUBSTITUTE(A237,CHAR(13),"")&amp;CHAR(10))-1))))," ",""))))+1),FIND(" ",(" "&amp;LEFT(SUBSTITUTE(A237,CHAR(13),""),FIND(CHAR(10),SUBSTITUTE(A237,CHAR(13),"")&amp;CHAR(10))-1))&amp;" ",FIND(".",(" "&amp;LEFT(SUBSTITUTE(A237,CHAR(13),""),FIND(CHAR(10),SUBSTITUTE(A237,CHAR(13),"")&amp;CHAR(10))-1))))-(FIND("~",SUBSTITUTE(LEFT((" "&amp;LEFT(SUBSTITUTE(A237,CHAR(13),""),FIND(CHAR(10),SUBSTITUTE(A237,CHAR(13),"")&amp;CHAR(10))-1)),FIND(".",(" "&amp;LEFT(SUBSTITUTE(A237,CHAR(13),""),FIND(CHAR(10),SUBSTITUTE(A237,CHAR(13),"")&amp;CHAR(10))-1))))," ","~",LEN(LEFT((" "&amp;LEFT(SUBSTITUTE(A237,CHAR(13),""),FIND(CHAR(10),SUBSTITUTE(A237,CHAR(13),"")&amp;CHAR(10))-1)),FIND(".",(" "&amp;LEFT(SUBSTITUTE(A237,CHAR(13),""),FIND(CHAR(10),SUBSTITUTE(A237,CHAR(13),"")&amp;CHAR(10))-1)))))-LEN(SUBSTITUTE(LEFT((" "&amp;LEFT(SUBSTITUTE(A237,CHAR(13),""),FIND(CHAR(10),SUBSTITUTE(A237,CHAR(13),"")&amp;CHAR(10))-1)),FIND(".",(" "&amp;LEFT(SUBSTITUTE(A237,CHAR(13),""),FIND(CHAR(10),SUBSTITUTE(A237,CHAR(13),"")&amp;CHAR(10))-1))))," ",""))))+1)),""))</f>
        <v/>
      </c>
    </row>
    <row r="238" customFormat="false" ht="30" hidden="false" customHeight="true" outlineLevel="0" collapsed="false">
      <c r="A238" s="11" t="str">
        <f aca="false">IFERROR(INDEX(Pegar!$A$3:$A$1002,MATCH(234,Pegar!$B$3:$B$1002,0))&amp;IF(LEFT(INDEX(Pegar!$A$3:$A$1003,MATCH(234,Pegar!$B$3:$B$1002,0)+1),5)="DESC=",CHAR(10)&amp;INDEX(Pegar!$A$3:$A$1003,MATCH(234,Pegar!$B$3:$B$1002,0)+1),""),"")</f>
        <v/>
      </c>
      <c r="B238" s="12" t="str">
        <f aca="false">IF(TRIM(A238)="","",IFERROR(MID(SUBSTITUTE(SUBSTITUTE(A238,CHAR(10)," "),CHAR(13)," "),FIND(" MT"," "&amp;SUBSTITUTE(SUBSTITUTE(A238,CHAR(10)," "),CHAR(13)," ")),FIND(" ",SUBSTITUTE(SUBSTITUTE(A238,CHAR(10)," "),CHAR(13)," ")&amp;" ",FIND(" MT"," "&amp;SUBSTITUTE(SUBSTITUTE(A238,CHAR(10)," "),CHAR(13)," ")))-FIND(" MT"," "&amp;SUBSTITUTE(SUBSTITUTE(A238,CHAR(10)," "),CHAR(13)," "))),"MT no encontrado"))</f>
        <v/>
      </c>
      <c r="C238" s="15" t="str">
        <f aca="false">IF(TRIM(A238)="","",IF(D238="",FALSE(),SUBSTITUTE(SUBSTITUTE(SUBSTITUTE(D238,".",""),"0",""),"-","")&lt;&gt;""))</f>
        <v/>
      </c>
      <c r="D238" s="14" t="str">
        <f aca="false">IF(TRIM(A238)="","",IFERROR(MID((" "&amp;LEFT(SUBSTITUTE(A238,CHAR(13),""),FIND(CHAR(10),SUBSTITUTE(A238,CHAR(13),"")&amp;CHAR(10))-1)),(FIND("~",SUBSTITUTE(LEFT((" "&amp;LEFT(SUBSTITUTE(A238,CHAR(13),""),FIND(CHAR(10),SUBSTITUTE(A238,CHAR(13),"")&amp;CHAR(10))-1)),FIND(".",(" "&amp;LEFT(SUBSTITUTE(A238,CHAR(13),""),FIND(CHAR(10),SUBSTITUTE(A238,CHAR(13),"")&amp;CHAR(10))-1))))," ","~",LEN(LEFT((" "&amp;LEFT(SUBSTITUTE(A238,CHAR(13),""),FIND(CHAR(10),SUBSTITUTE(A238,CHAR(13),"")&amp;CHAR(10))-1)),FIND(".",(" "&amp;LEFT(SUBSTITUTE(A238,CHAR(13),""),FIND(CHAR(10),SUBSTITUTE(A238,CHAR(13),"")&amp;CHAR(10))-1)))))-LEN(SUBSTITUTE(LEFT((" "&amp;LEFT(SUBSTITUTE(A238,CHAR(13),""),FIND(CHAR(10),SUBSTITUTE(A238,CHAR(13),"")&amp;CHAR(10))-1)),FIND(".",(" "&amp;LEFT(SUBSTITUTE(A238,CHAR(13),""),FIND(CHAR(10),SUBSTITUTE(A238,CHAR(13),"")&amp;CHAR(10))-1))))," ",""))))+1),FIND(" ",(" "&amp;LEFT(SUBSTITUTE(A238,CHAR(13),""),FIND(CHAR(10),SUBSTITUTE(A238,CHAR(13),"")&amp;CHAR(10))-1))&amp;" ",FIND(".",(" "&amp;LEFT(SUBSTITUTE(A238,CHAR(13),""),FIND(CHAR(10),SUBSTITUTE(A238,CHAR(13),"")&amp;CHAR(10))-1))))-(FIND("~",SUBSTITUTE(LEFT((" "&amp;LEFT(SUBSTITUTE(A238,CHAR(13),""),FIND(CHAR(10),SUBSTITUTE(A238,CHAR(13),"")&amp;CHAR(10))-1)),FIND(".",(" "&amp;LEFT(SUBSTITUTE(A238,CHAR(13),""),FIND(CHAR(10),SUBSTITUTE(A238,CHAR(13),"")&amp;CHAR(10))-1))))," ","~",LEN(LEFT((" "&amp;LEFT(SUBSTITUTE(A238,CHAR(13),""),FIND(CHAR(10),SUBSTITUTE(A238,CHAR(13),"")&amp;CHAR(10))-1)),FIND(".",(" "&amp;LEFT(SUBSTITUTE(A238,CHAR(13),""),FIND(CHAR(10),SUBSTITUTE(A238,CHAR(13),"")&amp;CHAR(10))-1)))))-LEN(SUBSTITUTE(LEFT((" "&amp;LEFT(SUBSTITUTE(A238,CHAR(13),""),FIND(CHAR(10),SUBSTITUTE(A238,CHAR(13),"")&amp;CHAR(10))-1)),FIND(".",(" "&amp;LEFT(SUBSTITUTE(A238,CHAR(13),""),FIND(CHAR(10),SUBSTITUTE(A238,CHAR(13),"")&amp;CHAR(10))-1))))," ",""))))+1)),""))</f>
        <v/>
      </c>
    </row>
    <row r="239" customFormat="false" ht="30" hidden="false" customHeight="true" outlineLevel="0" collapsed="false">
      <c r="A239" s="11" t="str">
        <f aca="false">IFERROR(INDEX(Pegar!$A$3:$A$1002,MATCH(235,Pegar!$B$3:$B$1002,0))&amp;IF(LEFT(INDEX(Pegar!$A$3:$A$1003,MATCH(235,Pegar!$B$3:$B$1002,0)+1),5)="DESC=",CHAR(10)&amp;INDEX(Pegar!$A$3:$A$1003,MATCH(235,Pegar!$B$3:$B$1002,0)+1),""),"")</f>
        <v/>
      </c>
      <c r="B239" s="12" t="str">
        <f aca="false">IF(TRIM(A239)="","",IFERROR(MID(SUBSTITUTE(SUBSTITUTE(A239,CHAR(10)," "),CHAR(13)," "),FIND(" MT"," "&amp;SUBSTITUTE(SUBSTITUTE(A239,CHAR(10)," "),CHAR(13)," ")),FIND(" ",SUBSTITUTE(SUBSTITUTE(A239,CHAR(10)," "),CHAR(13)," ")&amp;" ",FIND(" MT"," "&amp;SUBSTITUTE(SUBSTITUTE(A239,CHAR(10)," "),CHAR(13)," ")))-FIND(" MT"," "&amp;SUBSTITUTE(SUBSTITUTE(A239,CHAR(10)," "),CHAR(13)," "))),"MT no encontrado"))</f>
        <v/>
      </c>
      <c r="C239" s="15" t="str">
        <f aca="false">IF(TRIM(A239)="","",IF(D239="",FALSE(),SUBSTITUTE(SUBSTITUTE(SUBSTITUTE(D239,".",""),"0",""),"-","")&lt;&gt;""))</f>
        <v/>
      </c>
      <c r="D239" s="14" t="str">
        <f aca="false">IF(TRIM(A239)="","",IFERROR(MID((" "&amp;LEFT(SUBSTITUTE(A239,CHAR(13),""),FIND(CHAR(10),SUBSTITUTE(A239,CHAR(13),"")&amp;CHAR(10))-1)),(FIND("~",SUBSTITUTE(LEFT((" "&amp;LEFT(SUBSTITUTE(A239,CHAR(13),""),FIND(CHAR(10),SUBSTITUTE(A239,CHAR(13),"")&amp;CHAR(10))-1)),FIND(".",(" "&amp;LEFT(SUBSTITUTE(A239,CHAR(13),""),FIND(CHAR(10),SUBSTITUTE(A239,CHAR(13),"")&amp;CHAR(10))-1))))," ","~",LEN(LEFT((" "&amp;LEFT(SUBSTITUTE(A239,CHAR(13),""),FIND(CHAR(10),SUBSTITUTE(A239,CHAR(13),"")&amp;CHAR(10))-1)),FIND(".",(" "&amp;LEFT(SUBSTITUTE(A239,CHAR(13),""),FIND(CHAR(10),SUBSTITUTE(A239,CHAR(13),"")&amp;CHAR(10))-1)))))-LEN(SUBSTITUTE(LEFT((" "&amp;LEFT(SUBSTITUTE(A239,CHAR(13),""),FIND(CHAR(10),SUBSTITUTE(A239,CHAR(13),"")&amp;CHAR(10))-1)),FIND(".",(" "&amp;LEFT(SUBSTITUTE(A239,CHAR(13),""),FIND(CHAR(10),SUBSTITUTE(A239,CHAR(13),"")&amp;CHAR(10))-1))))," ",""))))+1),FIND(" ",(" "&amp;LEFT(SUBSTITUTE(A239,CHAR(13),""),FIND(CHAR(10),SUBSTITUTE(A239,CHAR(13),"")&amp;CHAR(10))-1))&amp;" ",FIND(".",(" "&amp;LEFT(SUBSTITUTE(A239,CHAR(13),""),FIND(CHAR(10),SUBSTITUTE(A239,CHAR(13),"")&amp;CHAR(10))-1))))-(FIND("~",SUBSTITUTE(LEFT((" "&amp;LEFT(SUBSTITUTE(A239,CHAR(13),""),FIND(CHAR(10),SUBSTITUTE(A239,CHAR(13),"")&amp;CHAR(10))-1)),FIND(".",(" "&amp;LEFT(SUBSTITUTE(A239,CHAR(13),""),FIND(CHAR(10),SUBSTITUTE(A239,CHAR(13),"")&amp;CHAR(10))-1))))," ","~",LEN(LEFT((" "&amp;LEFT(SUBSTITUTE(A239,CHAR(13),""),FIND(CHAR(10),SUBSTITUTE(A239,CHAR(13),"")&amp;CHAR(10))-1)),FIND(".",(" "&amp;LEFT(SUBSTITUTE(A239,CHAR(13),""),FIND(CHAR(10),SUBSTITUTE(A239,CHAR(13),"")&amp;CHAR(10))-1)))))-LEN(SUBSTITUTE(LEFT((" "&amp;LEFT(SUBSTITUTE(A239,CHAR(13),""),FIND(CHAR(10),SUBSTITUTE(A239,CHAR(13),"")&amp;CHAR(10))-1)),FIND(".",(" "&amp;LEFT(SUBSTITUTE(A239,CHAR(13),""),FIND(CHAR(10),SUBSTITUTE(A239,CHAR(13),"")&amp;CHAR(10))-1))))," ",""))))+1)),""))</f>
        <v/>
      </c>
    </row>
    <row r="240" customFormat="false" ht="30" hidden="false" customHeight="true" outlineLevel="0" collapsed="false">
      <c r="A240" s="11" t="str">
        <f aca="false">IFERROR(INDEX(Pegar!$A$3:$A$1002,MATCH(236,Pegar!$B$3:$B$1002,0))&amp;IF(LEFT(INDEX(Pegar!$A$3:$A$1003,MATCH(236,Pegar!$B$3:$B$1002,0)+1),5)="DESC=",CHAR(10)&amp;INDEX(Pegar!$A$3:$A$1003,MATCH(236,Pegar!$B$3:$B$1002,0)+1),""),"")</f>
        <v/>
      </c>
      <c r="B240" s="12" t="str">
        <f aca="false">IF(TRIM(A240)="","",IFERROR(MID(SUBSTITUTE(SUBSTITUTE(A240,CHAR(10)," "),CHAR(13)," "),FIND(" MT"," "&amp;SUBSTITUTE(SUBSTITUTE(A240,CHAR(10)," "),CHAR(13)," ")),FIND(" ",SUBSTITUTE(SUBSTITUTE(A240,CHAR(10)," "),CHAR(13)," ")&amp;" ",FIND(" MT"," "&amp;SUBSTITUTE(SUBSTITUTE(A240,CHAR(10)," "),CHAR(13)," ")))-FIND(" MT"," "&amp;SUBSTITUTE(SUBSTITUTE(A240,CHAR(10)," "),CHAR(13)," "))),"MT no encontrado"))</f>
        <v/>
      </c>
      <c r="C240" s="15" t="str">
        <f aca="false">IF(TRIM(A240)="","",IF(D240="",FALSE(),SUBSTITUTE(SUBSTITUTE(SUBSTITUTE(D240,".",""),"0",""),"-","")&lt;&gt;""))</f>
        <v/>
      </c>
      <c r="D240" s="14" t="str">
        <f aca="false">IF(TRIM(A240)="","",IFERROR(MID((" "&amp;LEFT(SUBSTITUTE(A240,CHAR(13),""),FIND(CHAR(10),SUBSTITUTE(A240,CHAR(13),"")&amp;CHAR(10))-1)),(FIND("~",SUBSTITUTE(LEFT((" "&amp;LEFT(SUBSTITUTE(A240,CHAR(13),""),FIND(CHAR(10),SUBSTITUTE(A240,CHAR(13),"")&amp;CHAR(10))-1)),FIND(".",(" "&amp;LEFT(SUBSTITUTE(A240,CHAR(13),""),FIND(CHAR(10),SUBSTITUTE(A240,CHAR(13),"")&amp;CHAR(10))-1))))," ","~",LEN(LEFT((" "&amp;LEFT(SUBSTITUTE(A240,CHAR(13),""),FIND(CHAR(10),SUBSTITUTE(A240,CHAR(13),"")&amp;CHAR(10))-1)),FIND(".",(" "&amp;LEFT(SUBSTITUTE(A240,CHAR(13),""),FIND(CHAR(10),SUBSTITUTE(A240,CHAR(13),"")&amp;CHAR(10))-1)))))-LEN(SUBSTITUTE(LEFT((" "&amp;LEFT(SUBSTITUTE(A240,CHAR(13),""),FIND(CHAR(10),SUBSTITUTE(A240,CHAR(13),"")&amp;CHAR(10))-1)),FIND(".",(" "&amp;LEFT(SUBSTITUTE(A240,CHAR(13),""),FIND(CHAR(10),SUBSTITUTE(A240,CHAR(13),"")&amp;CHAR(10))-1))))," ",""))))+1),FIND(" ",(" "&amp;LEFT(SUBSTITUTE(A240,CHAR(13),""),FIND(CHAR(10),SUBSTITUTE(A240,CHAR(13),"")&amp;CHAR(10))-1))&amp;" ",FIND(".",(" "&amp;LEFT(SUBSTITUTE(A240,CHAR(13),""),FIND(CHAR(10),SUBSTITUTE(A240,CHAR(13),"")&amp;CHAR(10))-1))))-(FIND("~",SUBSTITUTE(LEFT((" "&amp;LEFT(SUBSTITUTE(A240,CHAR(13),""),FIND(CHAR(10),SUBSTITUTE(A240,CHAR(13),"")&amp;CHAR(10))-1)),FIND(".",(" "&amp;LEFT(SUBSTITUTE(A240,CHAR(13),""),FIND(CHAR(10),SUBSTITUTE(A240,CHAR(13),"")&amp;CHAR(10))-1))))," ","~",LEN(LEFT((" "&amp;LEFT(SUBSTITUTE(A240,CHAR(13),""),FIND(CHAR(10),SUBSTITUTE(A240,CHAR(13),"")&amp;CHAR(10))-1)),FIND(".",(" "&amp;LEFT(SUBSTITUTE(A240,CHAR(13),""),FIND(CHAR(10),SUBSTITUTE(A240,CHAR(13),"")&amp;CHAR(10))-1)))))-LEN(SUBSTITUTE(LEFT((" "&amp;LEFT(SUBSTITUTE(A240,CHAR(13),""),FIND(CHAR(10),SUBSTITUTE(A240,CHAR(13),"")&amp;CHAR(10))-1)),FIND(".",(" "&amp;LEFT(SUBSTITUTE(A240,CHAR(13),""),FIND(CHAR(10),SUBSTITUTE(A240,CHAR(13),"")&amp;CHAR(10))-1))))," ",""))))+1)),""))</f>
        <v/>
      </c>
    </row>
    <row r="241" customFormat="false" ht="30" hidden="false" customHeight="true" outlineLevel="0" collapsed="false">
      <c r="A241" s="11" t="str">
        <f aca="false">IFERROR(INDEX(Pegar!$A$3:$A$1002,MATCH(237,Pegar!$B$3:$B$1002,0))&amp;IF(LEFT(INDEX(Pegar!$A$3:$A$1003,MATCH(237,Pegar!$B$3:$B$1002,0)+1),5)="DESC=",CHAR(10)&amp;INDEX(Pegar!$A$3:$A$1003,MATCH(237,Pegar!$B$3:$B$1002,0)+1),""),"")</f>
        <v/>
      </c>
      <c r="B241" s="12" t="str">
        <f aca="false">IF(TRIM(A241)="","",IFERROR(MID(SUBSTITUTE(SUBSTITUTE(A241,CHAR(10)," "),CHAR(13)," "),FIND(" MT"," "&amp;SUBSTITUTE(SUBSTITUTE(A241,CHAR(10)," "),CHAR(13)," ")),FIND(" ",SUBSTITUTE(SUBSTITUTE(A241,CHAR(10)," "),CHAR(13)," ")&amp;" ",FIND(" MT"," "&amp;SUBSTITUTE(SUBSTITUTE(A241,CHAR(10)," "),CHAR(13)," ")))-FIND(" MT"," "&amp;SUBSTITUTE(SUBSTITUTE(A241,CHAR(10)," "),CHAR(13)," "))),"MT no encontrado"))</f>
        <v/>
      </c>
      <c r="C241" s="15" t="str">
        <f aca="false">IF(TRIM(A241)="","",IF(D241="",FALSE(),SUBSTITUTE(SUBSTITUTE(SUBSTITUTE(D241,".",""),"0",""),"-","")&lt;&gt;""))</f>
        <v/>
      </c>
      <c r="D241" s="14" t="str">
        <f aca="false">IF(TRIM(A241)="","",IFERROR(MID((" "&amp;LEFT(SUBSTITUTE(A241,CHAR(13),""),FIND(CHAR(10),SUBSTITUTE(A241,CHAR(13),"")&amp;CHAR(10))-1)),(FIND("~",SUBSTITUTE(LEFT((" "&amp;LEFT(SUBSTITUTE(A241,CHAR(13),""),FIND(CHAR(10),SUBSTITUTE(A241,CHAR(13),"")&amp;CHAR(10))-1)),FIND(".",(" "&amp;LEFT(SUBSTITUTE(A241,CHAR(13),""),FIND(CHAR(10),SUBSTITUTE(A241,CHAR(13),"")&amp;CHAR(10))-1))))," ","~",LEN(LEFT((" "&amp;LEFT(SUBSTITUTE(A241,CHAR(13),""),FIND(CHAR(10),SUBSTITUTE(A241,CHAR(13),"")&amp;CHAR(10))-1)),FIND(".",(" "&amp;LEFT(SUBSTITUTE(A241,CHAR(13),""),FIND(CHAR(10),SUBSTITUTE(A241,CHAR(13),"")&amp;CHAR(10))-1)))))-LEN(SUBSTITUTE(LEFT((" "&amp;LEFT(SUBSTITUTE(A241,CHAR(13),""),FIND(CHAR(10),SUBSTITUTE(A241,CHAR(13),"")&amp;CHAR(10))-1)),FIND(".",(" "&amp;LEFT(SUBSTITUTE(A241,CHAR(13),""),FIND(CHAR(10),SUBSTITUTE(A241,CHAR(13),"")&amp;CHAR(10))-1))))," ",""))))+1),FIND(" ",(" "&amp;LEFT(SUBSTITUTE(A241,CHAR(13),""),FIND(CHAR(10),SUBSTITUTE(A241,CHAR(13),"")&amp;CHAR(10))-1))&amp;" ",FIND(".",(" "&amp;LEFT(SUBSTITUTE(A241,CHAR(13),""),FIND(CHAR(10),SUBSTITUTE(A241,CHAR(13),"")&amp;CHAR(10))-1))))-(FIND("~",SUBSTITUTE(LEFT((" "&amp;LEFT(SUBSTITUTE(A241,CHAR(13),""),FIND(CHAR(10),SUBSTITUTE(A241,CHAR(13),"")&amp;CHAR(10))-1)),FIND(".",(" "&amp;LEFT(SUBSTITUTE(A241,CHAR(13),""),FIND(CHAR(10),SUBSTITUTE(A241,CHAR(13),"")&amp;CHAR(10))-1))))," ","~",LEN(LEFT((" "&amp;LEFT(SUBSTITUTE(A241,CHAR(13),""),FIND(CHAR(10),SUBSTITUTE(A241,CHAR(13),"")&amp;CHAR(10))-1)),FIND(".",(" "&amp;LEFT(SUBSTITUTE(A241,CHAR(13),""),FIND(CHAR(10),SUBSTITUTE(A241,CHAR(13),"")&amp;CHAR(10))-1)))))-LEN(SUBSTITUTE(LEFT((" "&amp;LEFT(SUBSTITUTE(A241,CHAR(13),""),FIND(CHAR(10),SUBSTITUTE(A241,CHAR(13),"")&amp;CHAR(10))-1)),FIND(".",(" "&amp;LEFT(SUBSTITUTE(A241,CHAR(13),""),FIND(CHAR(10),SUBSTITUTE(A241,CHAR(13),"")&amp;CHAR(10))-1))))," ",""))))+1)),""))</f>
        <v/>
      </c>
    </row>
    <row r="242" customFormat="false" ht="30" hidden="false" customHeight="true" outlineLevel="0" collapsed="false">
      <c r="A242" s="11" t="str">
        <f aca="false">IFERROR(INDEX(Pegar!$A$3:$A$1002,MATCH(238,Pegar!$B$3:$B$1002,0))&amp;IF(LEFT(INDEX(Pegar!$A$3:$A$1003,MATCH(238,Pegar!$B$3:$B$1002,0)+1),5)="DESC=",CHAR(10)&amp;INDEX(Pegar!$A$3:$A$1003,MATCH(238,Pegar!$B$3:$B$1002,0)+1),""),"")</f>
        <v/>
      </c>
      <c r="B242" s="12" t="str">
        <f aca="false">IF(TRIM(A242)="","",IFERROR(MID(SUBSTITUTE(SUBSTITUTE(A242,CHAR(10)," "),CHAR(13)," "),FIND(" MT"," "&amp;SUBSTITUTE(SUBSTITUTE(A242,CHAR(10)," "),CHAR(13)," ")),FIND(" ",SUBSTITUTE(SUBSTITUTE(A242,CHAR(10)," "),CHAR(13)," ")&amp;" ",FIND(" MT"," "&amp;SUBSTITUTE(SUBSTITUTE(A242,CHAR(10)," "),CHAR(13)," ")))-FIND(" MT"," "&amp;SUBSTITUTE(SUBSTITUTE(A242,CHAR(10)," "),CHAR(13)," "))),"MT no encontrado"))</f>
        <v/>
      </c>
      <c r="C242" s="15" t="str">
        <f aca="false">IF(TRIM(A242)="","",IF(D242="",FALSE(),SUBSTITUTE(SUBSTITUTE(SUBSTITUTE(D242,".",""),"0",""),"-","")&lt;&gt;""))</f>
        <v/>
      </c>
      <c r="D242" s="14" t="str">
        <f aca="false">IF(TRIM(A242)="","",IFERROR(MID((" "&amp;LEFT(SUBSTITUTE(A242,CHAR(13),""),FIND(CHAR(10),SUBSTITUTE(A242,CHAR(13),"")&amp;CHAR(10))-1)),(FIND("~",SUBSTITUTE(LEFT((" "&amp;LEFT(SUBSTITUTE(A242,CHAR(13),""),FIND(CHAR(10),SUBSTITUTE(A242,CHAR(13),"")&amp;CHAR(10))-1)),FIND(".",(" "&amp;LEFT(SUBSTITUTE(A242,CHAR(13),""),FIND(CHAR(10),SUBSTITUTE(A242,CHAR(13),"")&amp;CHAR(10))-1))))," ","~",LEN(LEFT((" "&amp;LEFT(SUBSTITUTE(A242,CHAR(13),""),FIND(CHAR(10),SUBSTITUTE(A242,CHAR(13),"")&amp;CHAR(10))-1)),FIND(".",(" "&amp;LEFT(SUBSTITUTE(A242,CHAR(13),""),FIND(CHAR(10),SUBSTITUTE(A242,CHAR(13),"")&amp;CHAR(10))-1)))))-LEN(SUBSTITUTE(LEFT((" "&amp;LEFT(SUBSTITUTE(A242,CHAR(13),""),FIND(CHAR(10),SUBSTITUTE(A242,CHAR(13),"")&amp;CHAR(10))-1)),FIND(".",(" "&amp;LEFT(SUBSTITUTE(A242,CHAR(13),""),FIND(CHAR(10),SUBSTITUTE(A242,CHAR(13),"")&amp;CHAR(10))-1))))," ",""))))+1),FIND(" ",(" "&amp;LEFT(SUBSTITUTE(A242,CHAR(13),""),FIND(CHAR(10),SUBSTITUTE(A242,CHAR(13),"")&amp;CHAR(10))-1))&amp;" ",FIND(".",(" "&amp;LEFT(SUBSTITUTE(A242,CHAR(13),""),FIND(CHAR(10),SUBSTITUTE(A242,CHAR(13),"")&amp;CHAR(10))-1))))-(FIND("~",SUBSTITUTE(LEFT((" "&amp;LEFT(SUBSTITUTE(A242,CHAR(13),""),FIND(CHAR(10),SUBSTITUTE(A242,CHAR(13),"")&amp;CHAR(10))-1)),FIND(".",(" "&amp;LEFT(SUBSTITUTE(A242,CHAR(13),""),FIND(CHAR(10),SUBSTITUTE(A242,CHAR(13),"")&amp;CHAR(10))-1))))," ","~",LEN(LEFT((" "&amp;LEFT(SUBSTITUTE(A242,CHAR(13),""),FIND(CHAR(10),SUBSTITUTE(A242,CHAR(13),"")&amp;CHAR(10))-1)),FIND(".",(" "&amp;LEFT(SUBSTITUTE(A242,CHAR(13),""),FIND(CHAR(10),SUBSTITUTE(A242,CHAR(13),"")&amp;CHAR(10))-1)))))-LEN(SUBSTITUTE(LEFT((" "&amp;LEFT(SUBSTITUTE(A242,CHAR(13),""),FIND(CHAR(10),SUBSTITUTE(A242,CHAR(13),"")&amp;CHAR(10))-1)),FIND(".",(" "&amp;LEFT(SUBSTITUTE(A242,CHAR(13),""),FIND(CHAR(10),SUBSTITUTE(A242,CHAR(13),"")&amp;CHAR(10))-1))))," ",""))))+1)),""))</f>
        <v/>
      </c>
    </row>
    <row r="243" customFormat="false" ht="30" hidden="false" customHeight="true" outlineLevel="0" collapsed="false">
      <c r="A243" s="11" t="str">
        <f aca="false">IFERROR(INDEX(Pegar!$A$3:$A$1002,MATCH(239,Pegar!$B$3:$B$1002,0))&amp;IF(LEFT(INDEX(Pegar!$A$3:$A$1003,MATCH(239,Pegar!$B$3:$B$1002,0)+1),5)="DESC=",CHAR(10)&amp;INDEX(Pegar!$A$3:$A$1003,MATCH(239,Pegar!$B$3:$B$1002,0)+1),""),"")</f>
        <v/>
      </c>
      <c r="B243" s="12" t="str">
        <f aca="false">IF(TRIM(A243)="","",IFERROR(MID(SUBSTITUTE(SUBSTITUTE(A243,CHAR(10)," "),CHAR(13)," "),FIND(" MT"," "&amp;SUBSTITUTE(SUBSTITUTE(A243,CHAR(10)," "),CHAR(13)," ")),FIND(" ",SUBSTITUTE(SUBSTITUTE(A243,CHAR(10)," "),CHAR(13)," ")&amp;" ",FIND(" MT"," "&amp;SUBSTITUTE(SUBSTITUTE(A243,CHAR(10)," "),CHAR(13)," ")))-FIND(" MT"," "&amp;SUBSTITUTE(SUBSTITUTE(A243,CHAR(10)," "),CHAR(13)," "))),"MT no encontrado"))</f>
        <v/>
      </c>
      <c r="C243" s="15" t="str">
        <f aca="false">IF(TRIM(A243)="","",IF(D243="",FALSE(),SUBSTITUTE(SUBSTITUTE(SUBSTITUTE(D243,".",""),"0",""),"-","")&lt;&gt;""))</f>
        <v/>
      </c>
      <c r="D243" s="14" t="str">
        <f aca="false">IF(TRIM(A243)="","",IFERROR(MID((" "&amp;LEFT(SUBSTITUTE(A243,CHAR(13),""),FIND(CHAR(10),SUBSTITUTE(A243,CHAR(13),"")&amp;CHAR(10))-1)),(FIND("~",SUBSTITUTE(LEFT((" "&amp;LEFT(SUBSTITUTE(A243,CHAR(13),""),FIND(CHAR(10),SUBSTITUTE(A243,CHAR(13),"")&amp;CHAR(10))-1)),FIND(".",(" "&amp;LEFT(SUBSTITUTE(A243,CHAR(13),""),FIND(CHAR(10),SUBSTITUTE(A243,CHAR(13),"")&amp;CHAR(10))-1))))," ","~",LEN(LEFT((" "&amp;LEFT(SUBSTITUTE(A243,CHAR(13),""),FIND(CHAR(10),SUBSTITUTE(A243,CHAR(13),"")&amp;CHAR(10))-1)),FIND(".",(" "&amp;LEFT(SUBSTITUTE(A243,CHAR(13),""),FIND(CHAR(10),SUBSTITUTE(A243,CHAR(13),"")&amp;CHAR(10))-1)))))-LEN(SUBSTITUTE(LEFT((" "&amp;LEFT(SUBSTITUTE(A243,CHAR(13),""),FIND(CHAR(10),SUBSTITUTE(A243,CHAR(13),"")&amp;CHAR(10))-1)),FIND(".",(" "&amp;LEFT(SUBSTITUTE(A243,CHAR(13),""),FIND(CHAR(10),SUBSTITUTE(A243,CHAR(13),"")&amp;CHAR(10))-1))))," ",""))))+1),FIND(" ",(" "&amp;LEFT(SUBSTITUTE(A243,CHAR(13),""),FIND(CHAR(10),SUBSTITUTE(A243,CHAR(13),"")&amp;CHAR(10))-1))&amp;" ",FIND(".",(" "&amp;LEFT(SUBSTITUTE(A243,CHAR(13),""),FIND(CHAR(10),SUBSTITUTE(A243,CHAR(13),"")&amp;CHAR(10))-1))))-(FIND("~",SUBSTITUTE(LEFT((" "&amp;LEFT(SUBSTITUTE(A243,CHAR(13),""),FIND(CHAR(10),SUBSTITUTE(A243,CHAR(13),"")&amp;CHAR(10))-1)),FIND(".",(" "&amp;LEFT(SUBSTITUTE(A243,CHAR(13),""),FIND(CHAR(10),SUBSTITUTE(A243,CHAR(13),"")&amp;CHAR(10))-1))))," ","~",LEN(LEFT((" "&amp;LEFT(SUBSTITUTE(A243,CHAR(13),""),FIND(CHAR(10),SUBSTITUTE(A243,CHAR(13),"")&amp;CHAR(10))-1)),FIND(".",(" "&amp;LEFT(SUBSTITUTE(A243,CHAR(13),""),FIND(CHAR(10),SUBSTITUTE(A243,CHAR(13),"")&amp;CHAR(10))-1)))))-LEN(SUBSTITUTE(LEFT((" "&amp;LEFT(SUBSTITUTE(A243,CHAR(13),""),FIND(CHAR(10),SUBSTITUTE(A243,CHAR(13),"")&amp;CHAR(10))-1)),FIND(".",(" "&amp;LEFT(SUBSTITUTE(A243,CHAR(13),""),FIND(CHAR(10),SUBSTITUTE(A243,CHAR(13),"")&amp;CHAR(10))-1))))," ",""))))+1)),""))</f>
        <v/>
      </c>
    </row>
    <row r="244" customFormat="false" ht="30" hidden="false" customHeight="true" outlineLevel="0" collapsed="false">
      <c r="A244" s="11" t="str">
        <f aca="false">IFERROR(INDEX(Pegar!$A$3:$A$1002,MATCH(240,Pegar!$B$3:$B$1002,0))&amp;IF(LEFT(INDEX(Pegar!$A$3:$A$1003,MATCH(240,Pegar!$B$3:$B$1002,0)+1),5)="DESC=",CHAR(10)&amp;INDEX(Pegar!$A$3:$A$1003,MATCH(240,Pegar!$B$3:$B$1002,0)+1),""),"")</f>
        <v/>
      </c>
      <c r="B244" s="12" t="str">
        <f aca="false">IF(TRIM(A244)="","",IFERROR(MID(SUBSTITUTE(SUBSTITUTE(A244,CHAR(10)," "),CHAR(13)," "),FIND(" MT"," "&amp;SUBSTITUTE(SUBSTITUTE(A244,CHAR(10)," "),CHAR(13)," ")),FIND(" ",SUBSTITUTE(SUBSTITUTE(A244,CHAR(10)," "),CHAR(13)," ")&amp;" ",FIND(" MT"," "&amp;SUBSTITUTE(SUBSTITUTE(A244,CHAR(10)," "),CHAR(13)," ")))-FIND(" MT"," "&amp;SUBSTITUTE(SUBSTITUTE(A244,CHAR(10)," "),CHAR(13)," "))),"MT no encontrado"))</f>
        <v/>
      </c>
      <c r="C244" s="15" t="str">
        <f aca="false">IF(TRIM(A244)="","",IF(D244="",FALSE(),SUBSTITUTE(SUBSTITUTE(SUBSTITUTE(D244,".",""),"0",""),"-","")&lt;&gt;""))</f>
        <v/>
      </c>
      <c r="D244" s="14" t="str">
        <f aca="false">IF(TRIM(A244)="","",IFERROR(MID((" "&amp;LEFT(SUBSTITUTE(A244,CHAR(13),""),FIND(CHAR(10),SUBSTITUTE(A244,CHAR(13),"")&amp;CHAR(10))-1)),(FIND("~",SUBSTITUTE(LEFT((" "&amp;LEFT(SUBSTITUTE(A244,CHAR(13),""),FIND(CHAR(10),SUBSTITUTE(A244,CHAR(13),"")&amp;CHAR(10))-1)),FIND(".",(" "&amp;LEFT(SUBSTITUTE(A244,CHAR(13),""),FIND(CHAR(10),SUBSTITUTE(A244,CHAR(13),"")&amp;CHAR(10))-1))))," ","~",LEN(LEFT((" "&amp;LEFT(SUBSTITUTE(A244,CHAR(13),""),FIND(CHAR(10),SUBSTITUTE(A244,CHAR(13),"")&amp;CHAR(10))-1)),FIND(".",(" "&amp;LEFT(SUBSTITUTE(A244,CHAR(13),""),FIND(CHAR(10),SUBSTITUTE(A244,CHAR(13),"")&amp;CHAR(10))-1)))))-LEN(SUBSTITUTE(LEFT((" "&amp;LEFT(SUBSTITUTE(A244,CHAR(13),""),FIND(CHAR(10),SUBSTITUTE(A244,CHAR(13),"")&amp;CHAR(10))-1)),FIND(".",(" "&amp;LEFT(SUBSTITUTE(A244,CHAR(13),""),FIND(CHAR(10),SUBSTITUTE(A244,CHAR(13),"")&amp;CHAR(10))-1))))," ",""))))+1),FIND(" ",(" "&amp;LEFT(SUBSTITUTE(A244,CHAR(13),""),FIND(CHAR(10),SUBSTITUTE(A244,CHAR(13),"")&amp;CHAR(10))-1))&amp;" ",FIND(".",(" "&amp;LEFT(SUBSTITUTE(A244,CHAR(13),""),FIND(CHAR(10),SUBSTITUTE(A244,CHAR(13),"")&amp;CHAR(10))-1))))-(FIND("~",SUBSTITUTE(LEFT((" "&amp;LEFT(SUBSTITUTE(A244,CHAR(13),""),FIND(CHAR(10),SUBSTITUTE(A244,CHAR(13),"")&amp;CHAR(10))-1)),FIND(".",(" "&amp;LEFT(SUBSTITUTE(A244,CHAR(13),""),FIND(CHAR(10),SUBSTITUTE(A244,CHAR(13),"")&amp;CHAR(10))-1))))," ","~",LEN(LEFT((" "&amp;LEFT(SUBSTITUTE(A244,CHAR(13),""),FIND(CHAR(10),SUBSTITUTE(A244,CHAR(13),"")&amp;CHAR(10))-1)),FIND(".",(" "&amp;LEFT(SUBSTITUTE(A244,CHAR(13),""),FIND(CHAR(10),SUBSTITUTE(A244,CHAR(13),"")&amp;CHAR(10))-1)))))-LEN(SUBSTITUTE(LEFT((" "&amp;LEFT(SUBSTITUTE(A244,CHAR(13),""),FIND(CHAR(10),SUBSTITUTE(A244,CHAR(13),"")&amp;CHAR(10))-1)),FIND(".",(" "&amp;LEFT(SUBSTITUTE(A244,CHAR(13),""),FIND(CHAR(10),SUBSTITUTE(A244,CHAR(13),"")&amp;CHAR(10))-1))))," ",""))))+1)),""))</f>
        <v/>
      </c>
    </row>
    <row r="245" customFormat="false" ht="30" hidden="false" customHeight="true" outlineLevel="0" collapsed="false">
      <c r="A245" s="11" t="str">
        <f aca="false">IFERROR(INDEX(Pegar!$A$3:$A$1002,MATCH(241,Pegar!$B$3:$B$1002,0))&amp;IF(LEFT(INDEX(Pegar!$A$3:$A$1003,MATCH(241,Pegar!$B$3:$B$1002,0)+1),5)="DESC=",CHAR(10)&amp;INDEX(Pegar!$A$3:$A$1003,MATCH(241,Pegar!$B$3:$B$1002,0)+1),""),"")</f>
        <v/>
      </c>
      <c r="B245" s="12" t="str">
        <f aca="false">IF(TRIM(A245)="","",IFERROR(MID(SUBSTITUTE(SUBSTITUTE(A245,CHAR(10)," "),CHAR(13)," "),FIND(" MT"," "&amp;SUBSTITUTE(SUBSTITUTE(A245,CHAR(10)," "),CHAR(13)," ")),FIND(" ",SUBSTITUTE(SUBSTITUTE(A245,CHAR(10)," "),CHAR(13)," ")&amp;" ",FIND(" MT"," "&amp;SUBSTITUTE(SUBSTITUTE(A245,CHAR(10)," "),CHAR(13)," ")))-FIND(" MT"," "&amp;SUBSTITUTE(SUBSTITUTE(A245,CHAR(10)," "),CHAR(13)," "))),"MT no encontrado"))</f>
        <v/>
      </c>
      <c r="C245" s="15" t="str">
        <f aca="false">IF(TRIM(A245)="","",IF(D245="",FALSE(),SUBSTITUTE(SUBSTITUTE(SUBSTITUTE(D245,".",""),"0",""),"-","")&lt;&gt;""))</f>
        <v/>
      </c>
      <c r="D245" s="14" t="str">
        <f aca="false">IF(TRIM(A245)="","",IFERROR(MID((" "&amp;LEFT(SUBSTITUTE(A245,CHAR(13),""),FIND(CHAR(10),SUBSTITUTE(A245,CHAR(13),"")&amp;CHAR(10))-1)),(FIND("~",SUBSTITUTE(LEFT((" "&amp;LEFT(SUBSTITUTE(A245,CHAR(13),""),FIND(CHAR(10),SUBSTITUTE(A245,CHAR(13),"")&amp;CHAR(10))-1)),FIND(".",(" "&amp;LEFT(SUBSTITUTE(A245,CHAR(13),""),FIND(CHAR(10),SUBSTITUTE(A245,CHAR(13),"")&amp;CHAR(10))-1))))," ","~",LEN(LEFT((" "&amp;LEFT(SUBSTITUTE(A245,CHAR(13),""),FIND(CHAR(10),SUBSTITUTE(A245,CHAR(13),"")&amp;CHAR(10))-1)),FIND(".",(" "&amp;LEFT(SUBSTITUTE(A245,CHAR(13),""),FIND(CHAR(10),SUBSTITUTE(A245,CHAR(13),"")&amp;CHAR(10))-1)))))-LEN(SUBSTITUTE(LEFT((" "&amp;LEFT(SUBSTITUTE(A245,CHAR(13),""),FIND(CHAR(10),SUBSTITUTE(A245,CHAR(13),"")&amp;CHAR(10))-1)),FIND(".",(" "&amp;LEFT(SUBSTITUTE(A245,CHAR(13),""),FIND(CHAR(10),SUBSTITUTE(A245,CHAR(13),"")&amp;CHAR(10))-1))))," ",""))))+1),FIND(" ",(" "&amp;LEFT(SUBSTITUTE(A245,CHAR(13),""),FIND(CHAR(10),SUBSTITUTE(A245,CHAR(13),"")&amp;CHAR(10))-1))&amp;" ",FIND(".",(" "&amp;LEFT(SUBSTITUTE(A245,CHAR(13),""),FIND(CHAR(10),SUBSTITUTE(A245,CHAR(13),"")&amp;CHAR(10))-1))))-(FIND("~",SUBSTITUTE(LEFT((" "&amp;LEFT(SUBSTITUTE(A245,CHAR(13),""),FIND(CHAR(10),SUBSTITUTE(A245,CHAR(13),"")&amp;CHAR(10))-1)),FIND(".",(" "&amp;LEFT(SUBSTITUTE(A245,CHAR(13),""),FIND(CHAR(10),SUBSTITUTE(A245,CHAR(13),"")&amp;CHAR(10))-1))))," ","~",LEN(LEFT((" "&amp;LEFT(SUBSTITUTE(A245,CHAR(13),""),FIND(CHAR(10),SUBSTITUTE(A245,CHAR(13),"")&amp;CHAR(10))-1)),FIND(".",(" "&amp;LEFT(SUBSTITUTE(A245,CHAR(13),""),FIND(CHAR(10),SUBSTITUTE(A245,CHAR(13),"")&amp;CHAR(10))-1)))))-LEN(SUBSTITUTE(LEFT((" "&amp;LEFT(SUBSTITUTE(A245,CHAR(13),""),FIND(CHAR(10),SUBSTITUTE(A245,CHAR(13),"")&amp;CHAR(10))-1)),FIND(".",(" "&amp;LEFT(SUBSTITUTE(A245,CHAR(13),""),FIND(CHAR(10),SUBSTITUTE(A245,CHAR(13),"")&amp;CHAR(10))-1))))," ",""))))+1)),""))</f>
        <v/>
      </c>
    </row>
    <row r="246" customFormat="false" ht="30" hidden="false" customHeight="true" outlineLevel="0" collapsed="false">
      <c r="A246" s="11" t="str">
        <f aca="false">IFERROR(INDEX(Pegar!$A$3:$A$1002,MATCH(242,Pegar!$B$3:$B$1002,0))&amp;IF(LEFT(INDEX(Pegar!$A$3:$A$1003,MATCH(242,Pegar!$B$3:$B$1002,0)+1),5)="DESC=",CHAR(10)&amp;INDEX(Pegar!$A$3:$A$1003,MATCH(242,Pegar!$B$3:$B$1002,0)+1),""),"")</f>
        <v/>
      </c>
      <c r="B246" s="12" t="str">
        <f aca="false">IF(TRIM(A246)="","",IFERROR(MID(SUBSTITUTE(SUBSTITUTE(A246,CHAR(10)," "),CHAR(13)," "),FIND(" MT"," "&amp;SUBSTITUTE(SUBSTITUTE(A246,CHAR(10)," "),CHAR(13)," ")),FIND(" ",SUBSTITUTE(SUBSTITUTE(A246,CHAR(10)," "),CHAR(13)," ")&amp;" ",FIND(" MT"," "&amp;SUBSTITUTE(SUBSTITUTE(A246,CHAR(10)," "),CHAR(13)," ")))-FIND(" MT"," "&amp;SUBSTITUTE(SUBSTITUTE(A246,CHAR(10)," "),CHAR(13)," "))),"MT no encontrado"))</f>
        <v/>
      </c>
      <c r="C246" s="15" t="str">
        <f aca="false">IF(TRIM(A246)="","",IF(D246="",FALSE(),SUBSTITUTE(SUBSTITUTE(SUBSTITUTE(D246,".",""),"0",""),"-","")&lt;&gt;""))</f>
        <v/>
      </c>
      <c r="D246" s="14" t="str">
        <f aca="false">IF(TRIM(A246)="","",IFERROR(MID((" "&amp;LEFT(SUBSTITUTE(A246,CHAR(13),""),FIND(CHAR(10),SUBSTITUTE(A246,CHAR(13),"")&amp;CHAR(10))-1)),(FIND("~",SUBSTITUTE(LEFT((" "&amp;LEFT(SUBSTITUTE(A246,CHAR(13),""),FIND(CHAR(10),SUBSTITUTE(A246,CHAR(13),"")&amp;CHAR(10))-1)),FIND(".",(" "&amp;LEFT(SUBSTITUTE(A246,CHAR(13),""),FIND(CHAR(10),SUBSTITUTE(A246,CHAR(13),"")&amp;CHAR(10))-1))))," ","~",LEN(LEFT((" "&amp;LEFT(SUBSTITUTE(A246,CHAR(13),""),FIND(CHAR(10),SUBSTITUTE(A246,CHAR(13),"")&amp;CHAR(10))-1)),FIND(".",(" "&amp;LEFT(SUBSTITUTE(A246,CHAR(13),""),FIND(CHAR(10),SUBSTITUTE(A246,CHAR(13),"")&amp;CHAR(10))-1)))))-LEN(SUBSTITUTE(LEFT((" "&amp;LEFT(SUBSTITUTE(A246,CHAR(13),""),FIND(CHAR(10),SUBSTITUTE(A246,CHAR(13),"")&amp;CHAR(10))-1)),FIND(".",(" "&amp;LEFT(SUBSTITUTE(A246,CHAR(13),""),FIND(CHAR(10),SUBSTITUTE(A246,CHAR(13),"")&amp;CHAR(10))-1))))," ",""))))+1),FIND(" ",(" "&amp;LEFT(SUBSTITUTE(A246,CHAR(13),""),FIND(CHAR(10),SUBSTITUTE(A246,CHAR(13),"")&amp;CHAR(10))-1))&amp;" ",FIND(".",(" "&amp;LEFT(SUBSTITUTE(A246,CHAR(13),""),FIND(CHAR(10),SUBSTITUTE(A246,CHAR(13),"")&amp;CHAR(10))-1))))-(FIND("~",SUBSTITUTE(LEFT((" "&amp;LEFT(SUBSTITUTE(A246,CHAR(13),""),FIND(CHAR(10),SUBSTITUTE(A246,CHAR(13),"")&amp;CHAR(10))-1)),FIND(".",(" "&amp;LEFT(SUBSTITUTE(A246,CHAR(13),""),FIND(CHAR(10),SUBSTITUTE(A246,CHAR(13),"")&amp;CHAR(10))-1))))," ","~",LEN(LEFT((" "&amp;LEFT(SUBSTITUTE(A246,CHAR(13),""),FIND(CHAR(10),SUBSTITUTE(A246,CHAR(13),"")&amp;CHAR(10))-1)),FIND(".",(" "&amp;LEFT(SUBSTITUTE(A246,CHAR(13),""),FIND(CHAR(10),SUBSTITUTE(A246,CHAR(13),"")&amp;CHAR(10))-1)))))-LEN(SUBSTITUTE(LEFT((" "&amp;LEFT(SUBSTITUTE(A246,CHAR(13),""),FIND(CHAR(10),SUBSTITUTE(A246,CHAR(13),"")&amp;CHAR(10))-1)),FIND(".",(" "&amp;LEFT(SUBSTITUTE(A246,CHAR(13),""),FIND(CHAR(10),SUBSTITUTE(A246,CHAR(13),"")&amp;CHAR(10))-1))))," ",""))))+1)),""))</f>
        <v/>
      </c>
    </row>
    <row r="247" customFormat="false" ht="30" hidden="false" customHeight="true" outlineLevel="0" collapsed="false">
      <c r="A247" s="11" t="str">
        <f aca="false">IFERROR(INDEX(Pegar!$A$3:$A$1002,MATCH(243,Pegar!$B$3:$B$1002,0))&amp;IF(LEFT(INDEX(Pegar!$A$3:$A$1003,MATCH(243,Pegar!$B$3:$B$1002,0)+1),5)="DESC=",CHAR(10)&amp;INDEX(Pegar!$A$3:$A$1003,MATCH(243,Pegar!$B$3:$B$1002,0)+1),""),"")</f>
        <v/>
      </c>
      <c r="B247" s="12" t="str">
        <f aca="false">IF(TRIM(A247)="","",IFERROR(MID(SUBSTITUTE(SUBSTITUTE(A247,CHAR(10)," "),CHAR(13)," "),FIND(" MT"," "&amp;SUBSTITUTE(SUBSTITUTE(A247,CHAR(10)," "),CHAR(13)," ")),FIND(" ",SUBSTITUTE(SUBSTITUTE(A247,CHAR(10)," "),CHAR(13)," ")&amp;" ",FIND(" MT"," "&amp;SUBSTITUTE(SUBSTITUTE(A247,CHAR(10)," "),CHAR(13)," ")))-FIND(" MT"," "&amp;SUBSTITUTE(SUBSTITUTE(A247,CHAR(10)," "),CHAR(13)," "))),"MT no encontrado"))</f>
        <v/>
      </c>
      <c r="C247" s="15" t="str">
        <f aca="false">IF(TRIM(A247)="","",IF(D247="",FALSE(),SUBSTITUTE(SUBSTITUTE(SUBSTITUTE(D247,".",""),"0",""),"-","")&lt;&gt;""))</f>
        <v/>
      </c>
      <c r="D247" s="14" t="str">
        <f aca="false">IF(TRIM(A247)="","",IFERROR(MID((" "&amp;LEFT(SUBSTITUTE(A247,CHAR(13),""),FIND(CHAR(10),SUBSTITUTE(A247,CHAR(13),"")&amp;CHAR(10))-1)),(FIND("~",SUBSTITUTE(LEFT((" "&amp;LEFT(SUBSTITUTE(A247,CHAR(13),""),FIND(CHAR(10),SUBSTITUTE(A247,CHAR(13),"")&amp;CHAR(10))-1)),FIND(".",(" "&amp;LEFT(SUBSTITUTE(A247,CHAR(13),""),FIND(CHAR(10),SUBSTITUTE(A247,CHAR(13),"")&amp;CHAR(10))-1))))," ","~",LEN(LEFT((" "&amp;LEFT(SUBSTITUTE(A247,CHAR(13),""),FIND(CHAR(10),SUBSTITUTE(A247,CHAR(13),"")&amp;CHAR(10))-1)),FIND(".",(" "&amp;LEFT(SUBSTITUTE(A247,CHAR(13),""),FIND(CHAR(10),SUBSTITUTE(A247,CHAR(13),"")&amp;CHAR(10))-1)))))-LEN(SUBSTITUTE(LEFT((" "&amp;LEFT(SUBSTITUTE(A247,CHAR(13),""),FIND(CHAR(10),SUBSTITUTE(A247,CHAR(13),"")&amp;CHAR(10))-1)),FIND(".",(" "&amp;LEFT(SUBSTITUTE(A247,CHAR(13),""),FIND(CHAR(10),SUBSTITUTE(A247,CHAR(13),"")&amp;CHAR(10))-1))))," ",""))))+1),FIND(" ",(" "&amp;LEFT(SUBSTITUTE(A247,CHAR(13),""),FIND(CHAR(10),SUBSTITUTE(A247,CHAR(13),"")&amp;CHAR(10))-1))&amp;" ",FIND(".",(" "&amp;LEFT(SUBSTITUTE(A247,CHAR(13),""),FIND(CHAR(10),SUBSTITUTE(A247,CHAR(13),"")&amp;CHAR(10))-1))))-(FIND("~",SUBSTITUTE(LEFT((" "&amp;LEFT(SUBSTITUTE(A247,CHAR(13),""),FIND(CHAR(10),SUBSTITUTE(A247,CHAR(13),"")&amp;CHAR(10))-1)),FIND(".",(" "&amp;LEFT(SUBSTITUTE(A247,CHAR(13),""),FIND(CHAR(10),SUBSTITUTE(A247,CHAR(13),"")&amp;CHAR(10))-1))))," ","~",LEN(LEFT((" "&amp;LEFT(SUBSTITUTE(A247,CHAR(13),""),FIND(CHAR(10),SUBSTITUTE(A247,CHAR(13),"")&amp;CHAR(10))-1)),FIND(".",(" "&amp;LEFT(SUBSTITUTE(A247,CHAR(13),""),FIND(CHAR(10),SUBSTITUTE(A247,CHAR(13),"")&amp;CHAR(10))-1)))))-LEN(SUBSTITUTE(LEFT((" "&amp;LEFT(SUBSTITUTE(A247,CHAR(13),""),FIND(CHAR(10),SUBSTITUTE(A247,CHAR(13),"")&amp;CHAR(10))-1)),FIND(".",(" "&amp;LEFT(SUBSTITUTE(A247,CHAR(13),""),FIND(CHAR(10),SUBSTITUTE(A247,CHAR(13),"")&amp;CHAR(10))-1))))," ",""))))+1)),""))</f>
        <v/>
      </c>
    </row>
    <row r="248" customFormat="false" ht="30" hidden="false" customHeight="true" outlineLevel="0" collapsed="false">
      <c r="A248" s="11" t="str">
        <f aca="false">IFERROR(INDEX(Pegar!$A$3:$A$1002,MATCH(244,Pegar!$B$3:$B$1002,0))&amp;IF(LEFT(INDEX(Pegar!$A$3:$A$1003,MATCH(244,Pegar!$B$3:$B$1002,0)+1),5)="DESC=",CHAR(10)&amp;INDEX(Pegar!$A$3:$A$1003,MATCH(244,Pegar!$B$3:$B$1002,0)+1),""),"")</f>
        <v/>
      </c>
      <c r="B248" s="12" t="str">
        <f aca="false">IF(TRIM(A248)="","",IFERROR(MID(SUBSTITUTE(SUBSTITUTE(A248,CHAR(10)," "),CHAR(13)," "),FIND(" MT"," "&amp;SUBSTITUTE(SUBSTITUTE(A248,CHAR(10)," "),CHAR(13)," ")),FIND(" ",SUBSTITUTE(SUBSTITUTE(A248,CHAR(10)," "),CHAR(13)," ")&amp;" ",FIND(" MT"," "&amp;SUBSTITUTE(SUBSTITUTE(A248,CHAR(10)," "),CHAR(13)," ")))-FIND(" MT"," "&amp;SUBSTITUTE(SUBSTITUTE(A248,CHAR(10)," "),CHAR(13)," "))),"MT no encontrado"))</f>
        <v/>
      </c>
      <c r="C248" s="15" t="str">
        <f aca="false">IF(TRIM(A248)="","",IF(D248="",FALSE(),SUBSTITUTE(SUBSTITUTE(SUBSTITUTE(D248,".",""),"0",""),"-","")&lt;&gt;""))</f>
        <v/>
      </c>
      <c r="D248" s="14" t="str">
        <f aca="false">IF(TRIM(A248)="","",IFERROR(MID((" "&amp;LEFT(SUBSTITUTE(A248,CHAR(13),""),FIND(CHAR(10),SUBSTITUTE(A248,CHAR(13),"")&amp;CHAR(10))-1)),(FIND("~",SUBSTITUTE(LEFT((" "&amp;LEFT(SUBSTITUTE(A248,CHAR(13),""),FIND(CHAR(10),SUBSTITUTE(A248,CHAR(13),"")&amp;CHAR(10))-1)),FIND(".",(" "&amp;LEFT(SUBSTITUTE(A248,CHAR(13),""),FIND(CHAR(10),SUBSTITUTE(A248,CHAR(13),"")&amp;CHAR(10))-1))))," ","~",LEN(LEFT((" "&amp;LEFT(SUBSTITUTE(A248,CHAR(13),""),FIND(CHAR(10),SUBSTITUTE(A248,CHAR(13),"")&amp;CHAR(10))-1)),FIND(".",(" "&amp;LEFT(SUBSTITUTE(A248,CHAR(13),""),FIND(CHAR(10),SUBSTITUTE(A248,CHAR(13),"")&amp;CHAR(10))-1)))))-LEN(SUBSTITUTE(LEFT((" "&amp;LEFT(SUBSTITUTE(A248,CHAR(13),""),FIND(CHAR(10),SUBSTITUTE(A248,CHAR(13),"")&amp;CHAR(10))-1)),FIND(".",(" "&amp;LEFT(SUBSTITUTE(A248,CHAR(13),""),FIND(CHAR(10),SUBSTITUTE(A248,CHAR(13),"")&amp;CHAR(10))-1))))," ",""))))+1),FIND(" ",(" "&amp;LEFT(SUBSTITUTE(A248,CHAR(13),""),FIND(CHAR(10),SUBSTITUTE(A248,CHAR(13),"")&amp;CHAR(10))-1))&amp;" ",FIND(".",(" "&amp;LEFT(SUBSTITUTE(A248,CHAR(13),""),FIND(CHAR(10),SUBSTITUTE(A248,CHAR(13),"")&amp;CHAR(10))-1))))-(FIND("~",SUBSTITUTE(LEFT((" "&amp;LEFT(SUBSTITUTE(A248,CHAR(13),""),FIND(CHAR(10),SUBSTITUTE(A248,CHAR(13),"")&amp;CHAR(10))-1)),FIND(".",(" "&amp;LEFT(SUBSTITUTE(A248,CHAR(13),""),FIND(CHAR(10),SUBSTITUTE(A248,CHAR(13),"")&amp;CHAR(10))-1))))," ","~",LEN(LEFT((" "&amp;LEFT(SUBSTITUTE(A248,CHAR(13),""),FIND(CHAR(10),SUBSTITUTE(A248,CHAR(13),"")&amp;CHAR(10))-1)),FIND(".",(" "&amp;LEFT(SUBSTITUTE(A248,CHAR(13),""),FIND(CHAR(10),SUBSTITUTE(A248,CHAR(13),"")&amp;CHAR(10))-1)))))-LEN(SUBSTITUTE(LEFT((" "&amp;LEFT(SUBSTITUTE(A248,CHAR(13),""),FIND(CHAR(10),SUBSTITUTE(A248,CHAR(13),"")&amp;CHAR(10))-1)),FIND(".",(" "&amp;LEFT(SUBSTITUTE(A248,CHAR(13),""),FIND(CHAR(10),SUBSTITUTE(A248,CHAR(13),"")&amp;CHAR(10))-1))))," ",""))))+1)),""))</f>
        <v/>
      </c>
    </row>
    <row r="249" customFormat="false" ht="30" hidden="false" customHeight="true" outlineLevel="0" collapsed="false">
      <c r="A249" s="11" t="str">
        <f aca="false">IFERROR(INDEX(Pegar!$A$3:$A$1002,MATCH(245,Pegar!$B$3:$B$1002,0))&amp;IF(LEFT(INDEX(Pegar!$A$3:$A$1003,MATCH(245,Pegar!$B$3:$B$1002,0)+1),5)="DESC=",CHAR(10)&amp;INDEX(Pegar!$A$3:$A$1003,MATCH(245,Pegar!$B$3:$B$1002,0)+1),""),"")</f>
        <v/>
      </c>
      <c r="B249" s="12" t="str">
        <f aca="false">IF(TRIM(A249)="","",IFERROR(MID(SUBSTITUTE(SUBSTITUTE(A249,CHAR(10)," "),CHAR(13)," "),FIND(" MT"," "&amp;SUBSTITUTE(SUBSTITUTE(A249,CHAR(10)," "),CHAR(13)," ")),FIND(" ",SUBSTITUTE(SUBSTITUTE(A249,CHAR(10)," "),CHAR(13)," ")&amp;" ",FIND(" MT"," "&amp;SUBSTITUTE(SUBSTITUTE(A249,CHAR(10)," "),CHAR(13)," ")))-FIND(" MT"," "&amp;SUBSTITUTE(SUBSTITUTE(A249,CHAR(10)," "),CHAR(13)," "))),"MT no encontrado"))</f>
        <v/>
      </c>
      <c r="C249" s="15" t="str">
        <f aca="false">IF(TRIM(A249)="","",IF(D249="",FALSE(),SUBSTITUTE(SUBSTITUTE(SUBSTITUTE(D249,".",""),"0",""),"-","")&lt;&gt;""))</f>
        <v/>
      </c>
      <c r="D249" s="14" t="str">
        <f aca="false">IF(TRIM(A249)="","",IFERROR(MID((" "&amp;LEFT(SUBSTITUTE(A249,CHAR(13),""),FIND(CHAR(10),SUBSTITUTE(A249,CHAR(13),"")&amp;CHAR(10))-1)),(FIND("~",SUBSTITUTE(LEFT((" "&amp;LEFT(SUBSTITUTE(A249,CHAR(13),""),FIND(CHAR(10),SUBSTITUTE(A249,CHAR(13),"")&amp;CHAR(10))-1)),FIND(".",(" "&amp;LEFT(SUBSTITUTE(A249,CHAR(13),""),FIND(CHAR(10),SUBSTITUTE(A249,CHAR(13),"")&amp;CHAR(10))-1))))," ","~",LEN(LEFT((" "&amp;LEFT(SUBSTITUTE(A249,CHAR(13),""),FIND(CHAR(10),SUBSTITUTE(A249,CHAR(13),"")&amp;CHAR(10))-1)),FIND(".",(" "&amp;LEFT(SUBSTITUTE(A249,CHAR(13),""),FIND(CHAR(10),SUBSTITUTE(A249,CHAR(13),"")&amp;CHAR(10))-1)))))-LEN(SUBSTITUTE(LEFT((" "&amp;LEFT(SUBSTITUTE(A249,CHAR(13),""),FIND(CHAR(10),SUBSTITUTE(A249,CHAR(13),"")&amp;CHAR(10))-1)),FIND(".",(" "&amp;LEFT(SUBSTITUTE(A249,CHAR(13),""),FIND(CHAR(10),SUBSTITUTE(A249,CHAR(13),"")&amp;CHAR(10))-1))))," ",""))))+1),FIND(" ",(" "&amp;LEFT(SUBSTITUTE(A249,CHAR(13),""),FIND(CHAR(10),SUBSTITUTE(A249,CHAR(13),"")&amp;CHAR(10))-1))&amp;" ",FIND(".",(" "&amp;LEFT(SUBSTITUTE(A249,CHAR(13),""),FIND(CHAR(10),SUBSTITUTE(A249,CHAR(13),"")&amp;CHAR(10))-1))))-(FIND("~",SUBSTITUTE(LEFT((" "&amp;LEFT(SUBSTITUTE(A249,CHAR(13),""),FIND(CHAR(10),SUBSTITUTE(A249,CHAR(13),"")&amp;CHAR(10))-1)),FIND(".",(" "&amp;LEFT(SUBSTITUTE(A249,CHAR(13),""),FIND(CHAR(10),SUBSTITUTE(A249,CHAR(13),"")&amp;CHAR(10))-1))))," ","~",LEN(LEFT((" "&amp;LEFT(SUBSTITUTE(A249,CHAR(13),""),FIND(CHAR(10),SUBSTITUTE(A249,CHAR(13),"")&amp;CHAR(10))-1)),FIND(".",(" "&amp;LEFT(SUBSTITUTE(A249,CHAR(13),""),FIND(CHAR(10),SUBSTITUTE(A249,CHAR(13),"")&amp;CHAR(10))-1)))))-LEN(SUBSTITUTE(LEFT((" "&amp;LEFT(SUBSTITUTE(A249,CHAR(13),""),FIND(CHAR(10),SUBSTITUTE(A249,CHAR(13),"")&amp;CHAR(10))-1)),FIND(".",(" "&amp;LEFT(SUBSTITUTE(A249,CHAR(13),""),FIND(CHAR(10),SUBSTITUTE(A249,CHAR(13),"")&amp;CHAR(10))-1))))," ",""))))+1)),""))</f>
        <v/>
      </c>
    </row>
    <row r="250" customFormat="false" ht="30" hidden="false" customHeight="true" outlineLevel="0" collapsed="false">
      <c r="A250" s="11" t="str">
        <f aca="false">IFERROR(INDEX(Pegar!$A$3:$A$1002,MATCH(246,Pegar!$B$3:$B$1002,0))&amp;IF(LEFT(INDEX(Pegar!$A$3:$A$1003,MATCH(246,Pegar!$B$3:$B$1002,0)+1),5)="DESC=",CHAR(10)&amp;INDEX(Pegar!$A$3:$A$1003,MATCH(246,Pegar!$B$3:$B$1002,0)+1),""),"")</f>
        <v/>
      </c>
      <c r="B250" s="12" t="str">
        <f aca="false">IF(TRIM(A250)="","",IFERROR(MID(SUBSTITUTE(SUBSTITUTE(A250,CHAR(10)," "),CHAR(13)," "),FIND(" MT"," "&amp;SUBSTITUTE(SUBSTITUTE(A250,CHAR(10)," "),CHAR(13)," ")),FIND(" ",SUBSTITUTE(SUBSTITUTE(A250,CHAR(10)," "),CHAR(13)," ")&amp;" ",FIND(" MT"," "&amp;SUBSTITUTE(SUBSTITUTE(A250,CHAR(10)," "),CHAR(13)," ")))-FIND(" MT"," "&amp;SUBSTITUTE(SUBSTITUTE(A250,CHAR(10)," "),CHAR(13)," "))),"MT no encontrado"))</f>
        <v/>
      </c>
      <c r="C250" s="15" t="str">
        <f aca="false">IF(TRIM(A250)="","",IF(D250="",FALSE(),SUBSTITUTE(SUBSTITUTE(SUBSTITUTE(D250,".",""),"0",""),"-","")&lt;&gt;""))</f>
        <v/>
      </c>
      <c r="D250" s="14" t="str">
        <f aca="false">IF(TRIM(A250)="","",IFERROR(MID((" "&amp;LEFT(SUBSTITUTE(A250,CHAR(13),""),FIND(CHAR(10),SUBSTITUTE(A250,CHAR(13),"")&amp;CHAR(10))-1)),(FIND("~",SUBSTITUTE(LEFT((" "&amp;LEFT(SUBSTITUTE(A250,CHAR(13),""),FIND(CHAR(10),SUBSTITUTE(A250,CHAR(13),"")&amp;CHAR(10))-1)),FIND(".",(" "&amp;LEFT(SUBSTITUTE(A250,CHAR(13),""),FIND(CHAR(10),SUBSTITUTE(A250,CHAR(13),"")&amp;CHAR(10))-1))))," ","~",LEN(LEFT((" "&amp;LEFT(SUBSTITUTE(A250,CHAR(13),""),FIND(CHAR(10),SUBSTITUTE(A250,CHAR(13),"")&amp;CHAR(10))-1)),FIND(".",(" "&amp;LEFT(SUBSTITUTE(A250,CHAR(13),""),FIND(CHAR(10),SUBSTITUTE(A250,CHAR(13),"")&amp;CHAR(10))-1)))))-LEN(SUBSTITUTE(LEFT((" "&amp;LEFT(SUBSTITUTE(A250,CHAR(13),""),FIND(CHAR(10),SUBSTITUTE(A250,CHAR(13),"")&amp;CHAR(10))-1)),FIND(".",(" "&amp;LEFT(SUBSTITUTE(A250,CHAR(13),""),FIND(CHAR(10),SUBSTITUTE(A250,CHAR(13),"")&amp;CHAR(10))-1))))," ",""))))+1),FIND(" ",(" "&amp;LEFT(SUBSTITUTE(A250,CHAR(13),""),FIND(CHAR(10),SUBSTITUTE(A250,CHAR(13),"")&amp;CHAR(10))-1))&amp;" ",FIND(".",(" "&amp;LEFT(SUBSTITUTE(A250,CHAR(13),""),FIND(CHAR(10),SUBSTITUTE(A250,CHAR(13),"")&amp;CHAR(10))-1))))-(FIND("~",SUBSTITUTE(LEFT((" "&amp;LEFT(SUBSTITUTE(A250,CHAR(13),""),FIND(CHAR(10),SUBSTITUTE(A250,CHAR(13),"")&amp;CHAR(10))-1)),FIND(".",(" "&amp;LEFT(SUBSTITUTE(A250,CHAR(13),""),FIND(CHAR(10),SUBSTITUTE(A250,CHAR(13),"")&amp;CHAR(10))-1))))," ","~",LEN(LEFT((" "&amp;LEFT(SUBSTITUTE(A250,CHAR(13),""),FIND(CHAR(10),SUBSTITUTE(A250,CHAR(13),"")&amp;CHAR(10))-1)),FIND(".",(" "&amp;LEFT(SUBSTITUTE(A250,CHAR(13),""),FIND(CHAR(10),SUBSTITUTE(A250,CHAR(13),"")&amp;CHAR(10))-1)))))-LEN(SUBSTITUTE(LEFT((" "&amp;LEFT(SUBSTITUTE(A250,CHAR(13),""),FIND(CHAR(10),SUBSTITUTE(A250,CHAR(13),"")&amp;CHAR(10))-1)),FIND(".",(" "&amp;LEFT(SUBSTITUTE(A250,CHAR(13),""),FIND(CHAR(10),SUBSTITUTE(A250,CHAR(13),"")&amp;CHAR(10))-1))))," ",""))))+1)),""))</f>
        <v/>
      </c>
    </row>
    <row r="251" customFormat="false" ht="30" hidden="false" customHeight="true" outlineLevel="0" collapsed="false">
      <c r="A251" s="11" t="str">
        <f aca="false">IFERROR(INDEX(Pegar!$A$3:$A$1002,MATCH(247,Pegar!$B$3:$B$1002,0))&amp;IF(LEFT(INDEX(Pegar!$A$3:$A$1003,MATCH(247,Pegar!$B$3:$B$1002,0)+1),5)="DESC=",CHAR(10)&amp;INDEX(Pegar!$A$3:$A$1003,MATCH(247,Pegar!$B$3:$B$1002,0)+1),""),"")</f>
        <v/>
      </c>
      <c r="B251" s="12" t="str">
        <f aca="false">IF(TRIM(A251)="","",IFERROR(MID(SUBSTITUTE(SUBSTITUTE(A251,CHAR(10)," "),CHAR(13)," "),FIND(" MT"," "&amp;SUBSTITUTE(SUBSTITUTE(A251,CHAR(10)," "),CHAR(13)," ")),FIND(" ",SUBSTITUTE(SUBSTITUTE(A251,CHAR(10)," "),CHAR(13)," ")&amp;" ",FIND(" MT"," "&amp;SUBSTITUTE(SUBSTITUTE(A251,CHAR(10)," "),CHAR(13)," ")))-FIND(" MT"," "&amp;SUBSTITUTE(SUBSTITUTE(A251,CHAR(10)," "),CHAR(13)," "))),"MT no encontrado"))</f>
        <v/>
      </c>
      <c r="C251" s="15" t="str">
        <f aca="false">IF(TRIM(A251)="","",IF(D251="",FALSE(),SUBSTITUTE(SUBSTITUTE(SUBSTITUTE(D251,".",""),"0",""),"-","")&lt;&gt;""))</f>
        <v/>
      </c>
      <c r="D251" s="14" t="str">
        <f aca="false">IF(TRIM(A251)="","",IFERROR(MID((" "&amp;LEFT(SUBSTITUTE(A251,CHAR(13),""),FIND(CHAR(10),SUBSTITUTE(A251,CHAR(13),"")&amp;CHAR(10))-1)),(FIND("~",SUBSTITUTE(LEFT((" "&amp;LEFT(SUBSTITUTE(A251,CHAR(13),""),FIND(CHAR(10),SUBSTITUTE(A251,CHAR(13),"")&amp;CHAR(10))-1)),FIND(".",(" "&amp;LEFT(SUBSTITUTE(A251,CHAR(13),""),FIND(CHAR(10),SUBSTITUTE(A251,CHAR(13),"")&amp;CHAR(10))-1))))," ","~",LEN(LEFT((" "&amp;LEFT(SUBSTITUTE(A251,CHAR(13),""),FIND(CHAR(10),SUBSTITUTE(A251,CHAR(13),"")&amp;CHAR(10))-1)),FIND(".",(" "&amp;LEFT(SUBSTITUTE(A251,CHAR(13),""),FIND(CHAR(10),SUBSTITUTE(A251,CHAR(13),"")&amp;CHAR(10))-1)))))-LEN(SUBSTITUTE(LEFT((" "&amp;LEFT(SUBSTITUTE(A251,CHAR(13),""),FIND(CHAR(10),SUBSTITUTE(A251,CHAR(13),"")&amp;CHAR(10))-1)),FIND(".",(" "&amp;LEFT(SUBSTITUTE(A251,CHAR(13),""),FIND(CHAR(10),SUBSTITUTE(A251,CHAR(13),"")&amp;CHAR(10))-1))))," ",""))))+1),FIND(" ",(" "&amp;LEFT(SUBSTITUTE(A251,CHAR(13),""),FIND(CHAR(10),SUBSTITUTE(A251,CHAR(13),"")&amp;CHAR(10))-1))&amp;" ",FIND(".",(" "&amp;LEFT(SUBSTITUTE(A251,CHAR(13),""),FIND(CHAR(10),SUBSTITUTE(A251,CHAR(13),"")&amp;CHAR(10))-1))))-(FIND("~",SUBSTITUTE(LEFT((" "&amp;LEFT(SUBSTITUTE(A251,CHAR(13),""),FIND(CHAR(10),SUBSTITUTE(A251,CHAR(13),"")&amp;CHAR(10))-1)),FIND(".",(" "&amp;LEFT(SUBSTITUTE(A251,CHAR(13),""),FIND(CHAR(10),SUBSTITUTE(A251,CHAR(13),"")&amp;CHAR(10))-1))))," ","~",LEN(LEFT((" "&amp;LEFT(SUBSTITUTE(A251,CHAR(13),""),FIND(CHAR(10),SUBSTITUTE(A251,CHAR(13),"")&amp;CHAR(10))-1)),FIND(".",(" "&amp;LEFT(SUBSTITUTE(A251,CHAR(13),""),FIND(CHAR(10),SUBSTITUTE(A251,CHAR(13),"")&amp;CHAR(10))-1)))))-LEN(SUBSTITUTE(LEFT((" "&amp;LEFT(SUBSTITUTE(A251,CHAR(13),""),FIND(CHAR(10),SUBSTITUTE(A251,CHAR(13),"")&amp;CHAR(10))-1)),FIND(".",(" "&amp;LEFT(SUBSTITUTE(A251,CHAR(13),""),FIND(CHAR(10),SUBSTITUTE(A251,CHAR(13),"")&amp;CHAR(10))-1))))," ",""))))+1)),""))</f>
        <v/>
      </c>
    </row>
    <row r="252" customFormat="false" ht="30" hidden="false" customHeight="true" outlineLevel="0" collapsed="false">
      <c r="A252" s="11" t="str">
        <f aca="false">IFERROR(INDEX(Pegar!$A$3:$A$1002,MATCH(248,Pegar!$B$3:$B$1002,0))&amp;IF(LEFT(INDEX(Pegar!$A$3:$A$1003,MATCH(248,Pegar!$B$3:$B$1002,0)+1),5)="DESC=",CHAR(10)&amp;INDEX(Pegar!$A$3:$A$1003,MATCH(248,Pegar!$B$3:$B$1002,0)+1),""),"")</f>
        <v/>
      </c>
      <c r="B252" s="12" t="str">
        <f aca="false">IF(TRIM(A252)="","",IFERROR(MID(SUBSTITUTE(SUBSTITUTE(A252,CHAR(10)," "),CHAR(13)," "),FIND(" MT"," "&amp;SUBSTITUTE(SUBSTITUTE(A252,CHAR(10)," "),CHAR(13)," ")),FIND(" ",SUBSTITUTE(SUBSTITUTE(A252,CHAR(10)," "),CHAR(13)," ")&amp;" ",FIND(" MT"," "&amp;SUBSTITUTE(SUBSTITUTE(A252,CHAR(10)," "),CHAR(13)," ")))-FIND(" MT"," "&amp;SUBSTITUTE(SUBSTITUTE(A252,CHAR(10)," "),CHAR(13)," "))),"MT no encontrado"))</f>
        <v/>
      </c>
      <c r="C252" s="15" t="str">
        <f aca="false">IF(TRIM(A252)="","",IF(D252="",FALSE(),SUBSTITUTE(SUBSTITUTE(SUBSTITUTE(D252,".",""),"0",""),"-","")&lt;&gt;""))</f>
        <v/>
      </c>
      <c r="D252" s="14" t="str">
        <f aca="false">IF(TRIM(A252)="","",IFERROR(MID((" "&amp;LEFT(SUBSTITUTE(A252,CHAR(13),""),FIND(CHAR(10),SUBSTITUTE(A252,CHAR(13),"")&amp;CHAR(10))-1)),(FIND("~",SUBSTITUTE(LEFT((" "&amp;LEFT(SUBSTITUTE(A252,CHAR(13),""),FIND(CHAR(10),SUBSTITUTE(A252,CHAR(13),"")&amp;CHAR(10))-1)),FIND(".",(" "&amp;LEFT(SUBSTITUTE(A252,CHAR(13),""),FIND(CHAR(10),SUBSTITUTE(A252,CHAR(13),"")&amp;CHAR(10))-1))))," ","~",LEN(LEFT((" "&amp;LEFT(SUBSTITUTE(A252,CHAR(13),""),FIND(CHAR(10),SUBSTITUTE(A252,CHAR(13),"")&amp;CHAR(10))-1)),FIND(".",(" "&amp;LEFT(SUBSTITUTE(A252,CHAR(13),""),FIND(CHAR(10),SUBSTITUTE(A252,CHAR(13),"")&amp;CHAR(10))-1)))))-LEN(SUBSTITUTE(LEFT((" "&amp;LEFT(SUBSTITUTE(A252,CHAR(13),""),FIND(CHAR(10),SUBSTITUTE(A252,CHAR(13),"")&amp;CHAR(10))-1)),FIND(".",(" "&amp;LEFT(SUBSTITUTE(A252,CHAR(13),""),FIND(CHAR(10),SUBSTITUTE(A252,CHAR(13),"")&amp;CHAR(10))-1))))," ",""))))+1),FIND(" ",(" "&amp;LEFT(SUBSTITUTE(A252,CHAR(13),""),FIND(CHAR(10),SUBSTITUTE(A252,CHAR(13),"")&amp;CHAR(10))-1))&amp;" ",FIND(".",(" "&amp;LEFT(SUBSTITUTE(A252,CHAR(13),""),FIND(CHAR(10),SUBSTITUTE(A252,CHAR(13),"")&amp;CHAR(10))-1))))-(FIND("~",SUBSTITUTE(LEFT((" "&amp;LEFT(SUBSTITUTE(A252,CHAR(13),""),FIND(CHAR(10),SUBSTITUTE(A252,CHAR(13),"")&amp;CHAR(10))-1)),FIND(".",(" "&amp;LEFT(SUBSTITUTE(A252,CHAR(13),""),FIND(CHAR(10),SUBSTITUTE(A252,CHAR(13),"")&amp;CHAR(10))-1))))," ","~",LEN(LEFT((" "&amp;LEFT(SUBSTITUTE(A252,CHAR(13),""),FIND(CHAR(10),SUBSTITUTE(A252,CHAR(13),"")&amp;CHAR(10))-1)),FIND(".",(" "&amp;LEFT(SUBSTITUTE(A252,CHAR(13),""),FIND(CHAR(10),SUBSTITUTE(A252,CHAR(13),"")&amp;CHAR(10))-1)))))-LEN(SUBSTITUTE(LEFT((" "&amp;LEFT(SUBSTITUTE(A252,CHAR(13),""),FIND(CHAR(10),SUBSTITUTE(A252,CHAR(13),"")&amp;CHAR(10))-1)),FIND(".",(" "&amp;LEFT(SUBSTITUTE(A252,CHAR(13),""),FIND(CHAR(10),SUBSTITUTE(A252,CHAR(13),"")&amp;CHAR(10))-1))))," ",""))))+1)),""))</f>
        <v/>
      </c>
    </row>
    <row r="253" customFormat="false" ht="30" hidden="false" customHeight="true" outlineLevel="0" collapsed="false">
      <c r="A253" s="11" t="str">
        <f aca="false">IFERROR(INDEX(Pegar!$A$3:$A$1002,MATCH(249,Pegar!$B$3:$B$1002,0))&amp;IF(LEFT(INDEX(Pegar!$A$3:$A$1003,MATCH(249,Pegar!$B$3:$B$1002,0)+1),5)="DESC=",CHAR(10)&amp;INDEX(Pegar!$A$3:$A$1003,MATCH(249,Pegar!$B$3:$B$1002,0)+1),""),"")</f>
        <v/>
      </c>
      <c r="B253" s="12" t="str">
        <f aca="false">IF(TRIM(A253)="","",IFERROR(MID(SUBSTITUTE(SUBSTITUTE(A253,CHAR(10)," "),CHAR(13)," "),FIND(" MT"," "&amp;SUBSTITUTE(SUBSTITUTE(A253,CHAR(10)," "),CHAR(13)," ")),FIND(" ",SUBSTITUTE(SUBSTITUTE(A253,CHAR(10)," "),CHAR(13)," ")&amp;" ",FIND(" MT"," "&amp;SUBSTITUTE(SUBSTITUTE(A253,CHAR(10)," "),CHAR(13)," ")))-FIND(" MT"," "&amp;SUBSTITUTE(SUBSTITUTE(A253,CHAR(10)," "),CHAR(13)," "))),"MT no encontrado"))</f>
        <v/>
      </c>
      <c r="C253" s="15" t="str">
        <f aca="false">IF(TRIM(A253)="","",IF(D253="",FALSE(),SUBSTITUTE(SUBSTITUTE(SUBSTITUTE(D253,".",""),"0",""),"-","")&lt;&gt;""))</f>
        <v/>
      </c>
      <c r="D253" s="14" t="str">
        <f aca="false">IF(TRIM(A253)="","",IFERROR(MID((" "&amp;LEFT(SUBSTITUTE(A253,CHAR(13),""),FIND(CHAR(10),SUBSTITUTE(A253,CHAR(13),"")&amp;CHAR(10))-1)),(FIND("~",SUBSTITUTE(LEFT((" "&amp;LEFT(SUBSTITUTE(A253,CHAR(13),""),FIND(CHAR(10),SUBSTITUTE(A253,CHAR(13),"")&amp;CHAR(10))-1)),FIND(".",(" "&amp;LEFT(SUBSTITUTE(A253,CHAR(13),""),FIND(CHAR(10),SUBSTITUTE(A253,CHAR(13),"")&amp;CHAR(10))-1))))," ","~",LEN(LEFT((" "&amp;LEFT(SUBSTITUTE(A253,CHAR(13),""),FIND(CHAR(10),SUBSTITUTE(A253,CHAR(13),"")&amp;CHAR(10))-1)),FIND(".",(" "&amp;LEFT(SUBSTITUTE(A253,CHAR(13),""),FIND(CHAR(10),SUBSTITUTE(A253,CHAR(13),"")&amp;CHAR(10))-1)))))-LEN(SUBSTITUTE(LEFT((" "&amp;LEFT(SUBSTITUTE(A253,CHAR(13),""),FIND(CHAR(10),SUBSTITUTE(A253,CHAR(13),"")&amp;CHAR(10))-1)),FIND(".",(" "&amp;LEFT(SUBSTITUTE(A253,CHAR(13),""),FIND(CHAR(10),SUBSTITUTE(A253,CHAR(13),"")&amp;CHAR(10))-1))))," ",""))))+1),FIND(" ",(" "&amp;LEFT(SUBSTITUTE(A253,CHAR(13),""),FIND(CHAR(10),SUBSTITUTE(A253,CHAR(13),"")&amp;CHAR(10))-1))&amp;" ",FIND(".",(" "&amp;LEFT(SUBSTITUTE(A253,CHAR(13),""),FIND(CHAR(10),SUBSTITUTE(A253,CHAR(13),"")&amp;CHAR(10))-1))))-(FIND("~",SUBSTITUTE(LEFT((" "&amp;LEFT(SUBSTITUTE(A253,CHAR(13),""),FIND(CHAR(10),SUBSTITUTE(A253,CHAR(13),"")&amp;CHAR(10))-1)),FIND(".",(" "&amp;LEFT(SUBSTITUTE(A253,CHAR(13),""),FIND(CHAR(10),SUBSTITUTE(A253,CHAR(13),"")&amp;CHAR(10))-1))))," ","~",LEN(LEFT((" "&amp;LEFT(SUBSTITUTE(A253,CHAR(13),""),FIND(CHAR(10),SUBSTITUTE(A253,CHAR(13),"")&amp;CHAR(10))-1)),FIND(".",(" "&amp;LEFT(SUBSTITUTE(A253,CHAR(13),""),FIND(CHAR(10),SUBSTITUTE(A253,CHAR(13),"")&amp;CHAR(10))-1)))))-LEN(SUBSTITUTE(LEFT((" "&amp;LEFT(SUBSTITUTE(A253,CHAR(13),""),FIND(CHAR(10),SUBSTITUTE(A253,CHAR(13),"")&amp;CHAR(10))-1)),FIND(".",(" "&amp;LEFT(SUBSTITUTE(A253,CHAR(13),""),FIND(CHAR(10),SUBSTITUTE(A253,CHAR(13),"")&amp;CHAR(10))-1))))," ",""))))+1)),""))</f>
        <v/>
      </c>
    </row>
    <row r="254" customFormat="false" ht="30" hidden="false" customHeight="true" outlineLevel="0" collapsed="false">
      <c r="A254" s="11" t="str">
        <f aca="false">IFERROR(INDEX(Pegar!$A$3:$A$1002,MATCH(250,Pegar!$B$3:$B$1002,0))&amp;IF(LEFT(INDEX(Pegar!$A$3:$A$1003,MATCH(250,Pegar!$B$3:$B$1002,0)+1),5)="DESC=",CHAR(10)&amp;INDEX(Pegar!$A$3:$A$1003,MATCH(250,Pegar!$B$3:$B$1002,0)+1),""),"")</f>
        <v/>
      </c>
      <c r="B254" s="12" t="str">
        <f aca="false">IF(TRIM(A254)="","",IFERROR(MID(SUBSTITUTE(SUBSTITUTE(A254,CHAR(10)," "),CHAR(13)," "),FIND(" MT"," "&amp;SUBSTITUTE(SUBSTITUTE(A254,CHAR(10)," "),CHAR(13)," ")),FIND(" ",SUBSTITUTE(SUBSTITUTE(A254,CHAR(10)," "),CHAR(13)," ")&amp;" ",FIND(" MT"," "&amp;SUBSTITUTE(SUBSTITUTE(A254,CHAR(10)," "),CHAR(13)," ")))-FIND(" MT"," "&amp;SUBSTITUTE(SUBSTITUTE(A254,CHAR(10)," "),CHAR(13)," "))),"MT no encontrado"))</f>
        <v/>
      </c>
      <c r="C254" s="15" t="str">
        <f aca="false">IF(TRIM(A254)="","",IF(D254="",FALSE(),SUBSTITUTE(SUBSTITUTE(SUBSTITUTE(D254,".",""),"0",""),"-","")&lt;&gt;""))</f>
        <v/>
      </c>
      <c r="D254" s="14" t="str">
        <f aca="false">IF(TRIM(A254)="","",IFERROR(MID((" "&amp;LEFT(SUBSTITUTE(A254,CHAR(13),""),FIND(CHAR(10),SUBSTITUTE(A254,CHAR(13),"")&amp;CHAR(10))-1)),(FIND("~",SUBSTITUTE(LEFT((" "&amp;LEFT(SUBSTITUTE(A254,CHAR(13),""),FIND(CHAR(10),SUBSTITUTE(A254,CHAR(13),"")&amp;CHAR(10))-1)),FIND(".",(" "&amp;LEFT(SUBSTITUTE(A254,CHAR(13),""),FIND(CHAR(10),SUBSTITUTE(A254,CHAR(13),"")&amp;CHAR(10))-1))))," ","~",LEN(LEFT((" "&amp;LEFT(SUBSTITUTE(A254,CHAR(13),""),FIND(CHAR(10),SUBSTITUTE(A254,CHAR(13),"")&amp;CHAR(10))-1)),FIND(".",(" "&amp;LEFT(SUBSTITUTE(A254,CHAR(13),""),FIND(CHAR(10),SUBSTITUTE(A254,CHAR(13),"")&amp;CHAR(10))-1)))))-LEN(SUBSTITUTE(LEFT((" "&amp;LEFT(SUBSTITUTE(A254,CHAR(13),""),FIND(CHAR(10),SUBSTITUTE(A254,CHAR(13),"")&amp;CHAR(10))-1)),FIND(".",(" "&amp;LEFT(SUBSTITUTE(A254,CHAR(13),""),FIND(CHAR(10),SUBSTITUTE(A254,CHAR(13),"")&amp;CHAR(10))-1))))," ",""))))+1),FIND(" ",(" "&amp;LEFT(SUBSTITUTE(A254,CHAR(13),""),FIND(CHAR(10),SUBSTITUTE(A254,CHAR(13),"")&amp;CHAR(10))-1))&amp;" ",FIND(".",(" "&amp;LEFT(SUBSTITUTE(A254,CHAR(13),""),FIND(CHAR(10),SUBSTITUTE(A254,CHAR(13),"")&amp;CHAR(10))-1))))-(FIND("~",SUBSTITUTE(LEFT((" "&amp;LEFT(SUBSTITUTE(A254,CHAR(13),""),FIND(CHAR(10),SUBSTITUTE(A254,CHAR(13),"")&amp;CHAR(10))-1)),FIND(".",(" "&amp;LEFT(SUBSTITUTE(A254,CHAR(13),""),FIND(CHAR(10),SUBSTITUTE(A254,CHAR(13),"")&amp;CHAR(10))-1))))," ","~",LEN(LEFT((" "&amp;LEFT(SUBSTITUTE(A254,CHAR(13),""),FIND(CHAR(10),SUBSTITUTE(A254,CHAR(13),"")&amp;CHAR(10))-1)),FIND(".",(" "&amp;LEFT(SUBSTITUTE(A254,CHAR(13),""),FIND(CHAR(10),SUBSTITUTE(A254,CHAR(13),"")&amp;CHAR(10))-1)))))-LEN(SUBSTITUTE(LEFT((" "&amp;LEFT(SUBSTITUTE(A254,CHAR(13),""),FIND(CHAR(10),SUBSTITUTE(A254,CHAR(13),"")&amp;CHAR(10))-1)),FIND(".",(" "&amp;LEFT(SUBSTITUTE(A254,CHAR(13),""),FIND(CHAR(10),SUBSTITUTE(A254,CHAR(13),"")&amp;CHAR(10))-1))))," ",""))))+1)),""))</f>
        <v/>
      </c>
    </row>
    <row r="255" customFormat="false" ht="30" hidden="false" customHeight="true" outlineLevel="0" collapsed="false">
      <c r="A255" s="11" t="str">
        <f aca="false">IFERROR(INDEX(Pegar!$A$3:$A$1002,MATCH(251,Pegar!$B$3:$B$1002,0))&amp;IF(LEFT(INDEX(Pegar!$A$3:$A$1003,MATCH(251,Pegar!$B$3:$B$1002,0)+1),5)="DESC=",CHAR(10)&amp;INDEX(Pegar!$A$3:$A$1003,MATCH(251,Pegar!$B$3:$B$1002,0)+1),""),"")</f>
        <v/>
      </c>
      <c r="B255" s="12" t="str">
        <f aca="false">IF(TRIM(A255)="","",IFERROR(MID(SUBSTITUTE(SUBSTITUTE(A255,CHAR(10)," "),CHAR(13)," "),FIND(" MT"," "&amp;SUBSTITUTE(SUBSTITUTE(A255,CHAR(10)," "),CHAR(13)," ")),FIND(" ",SUBSTITUTE(SUBSTITUTE(A255,CHAR(10)," "),CHAR(13)," ")&amp;" ",FIND(" MT"," "&amp;SUBSTITUTE(SUBSTITUTE(A255,CHAR(10)," "),CHAR(13)," ")))-FIND(" MT"," "&amp;SUBSTITUTE(SUBSTITUTE(A255,CHAR(10)," "),CHAR(13)," "))),"MT no encontrado"))</f>
        <v/>
      </c>
      <c r="C255" s="15" t="str">
        <f aca="false">IF(TRIM(A255)="","",IF(D255="",FALSE(),SUBSTITUTE(SUBSTITUTE(SUBSTITUTE(D255,".",""),"0",""),"-","")&lt;&gt;""))</f>
        <v/>
      </c>
      <c r="D255" s="14" t="str">
        <f aca="false">IF(TRIM(A255)="","",IFERROR(MID((" "&amp;LEFT(SUBSTITUTE(A255,CHAR(13),""),FIND(CHAR(10),SUBSTITUTE(A255,CHAR(13),"")&amp;CHAR(10))-1)),(FIND("~",SUBSTITUTE(LEFT((" "&amp;LEFT(SUBSTITUTE(A255,CHAR(13),""),FIND(CHAR(10),SUBSTITUTE(A255,CHAR(13),"")&amp;CHAR(10))-1)),FIND(".",(" "&amp;LEFT(SUBSTITUTE(A255,CHAR(13),""),FIND(CHAR(10),SUBSTITUTE(A255,CHAR(13),"")&amp;CHAR(10))-1))))," ","~",LEN(LEFT((" "&amp;LEFT(SUBSTITUTE(A255,CHAR(13),""),FIND(CHAR(10),SUBSTITUTE(A255,CHAR(13),"")&amp;CHAR(10))-1)),FIND(".",(" "&amp;LEFT(SUBSTITUTE(A255,CHAR(13),""),FIND(CHAR(10),SUBSTITUTE(A255,CHAR(13),"")&amp;CHAR(10))-1)))))-LEN(SUBSTITUTE(LEFT((" "&amp;LEFT(SUBSTITUTE(A255,CHAR(13),""),FIND(CHAR(10),SUBSTITUTE(A255,CHAR(13),"")&amp;CHAR(10))-1)),FIND(".",(" "&amp;LEFT(SUBSTITUTE(A255,CHAR(13),""),FIND(CHAR(10),SUBSTITUTE(A255,CHAR(13),"")&amp;CHAR(10))-1))))," ",""))))+1),FIND(" ",(" "&amp;LEFT(SUBSTITUTE(A255,CHAR(13),""),FIND(CHAR(10),SUBSTITUTE(A255,CHAR(13),"")&amp;CHAR(10))-1))&amp;" ",FIND(".",(" "&amp;LEFT(SUBSTITUTE(A255,CHAR(13),""),FIND(CHAR(10),SUBSTITUTE(A255,CHAR(13),"")&amp;CHAR(10))-1))))-(FIND("~",SUBSTITUTE(LEFT((" "&amp;LEFT(SUBSTITUTE(A255,CHAR(13),""),FIND(CHAR(10),SUBSTITUTE(A255,CHAR(13),"")&amp;CHAR(10))-1)),FIND(".",(" "&amp;LEFT(SUBSTITUTE(A255,CHAR(13),""),FIND(CHAR(10),SUBSTITUTE(A255,CHAR(13),"")&amp;CHAR(10))-1))))," ","~",LEN(LEFT((" "&amp;LEFT(SUBSTITUTE(A255,CHAR(13),""),FIND(CHAR(10),SUBSTITUTE(A255,CHAR(13),"")&amp;CHAR(10))-1)),FIND(".",(" "&amp;LEFT(SUBSTITUTE(A255,CHAR(13),""),FIND(CHAR(10),SUBSTITUTE(A255,CHAR(13),"")&amp;CHAR(10))-1)))))-LEN(SUBSTITUTE(LEFT((" "&amp;LEFT(SUBSTITUTE(A255,CHAR(13),""),FIND(CHAR(10),SUBSTITUTE(A255,CHAR(13),"")&amp;CHAR(10))-1)),FIND(".",(" "&amp;LEFT(SUBSTITUTE(A255,CHAR(13),""),FIND(CHAR(10),SUBSTITUTE(A255,CHAR(13),"")&amp;CHAR(10))-1))))," ",""))))+1)),""))</f>
        <v/>
      </c>
    </row>
    <row r="256" customFormat="false" ht="30" hidden="false" customHeight="true" outlineLevel="0" collapsed="false">
      <c r="A256" s="11" t="str">
        <f aca="false">IFERROR(INDEX(Pegar!$A$3:$A$1002,MATCH(252,Pegar!$B$3:$B$1002,0))&amp;IF(LEFT(INDEX(Pegar!$A$3:$A$1003,MATCH(252,Pegar!$B$3:$B$1002,0)+1),5)="DESC=",CHAR(10)&amp;INDEX(Pegar!$A$3:$A$1003,MATCH(252,Pegar!$B$3:$B$1002,0)+1),""),"")</f>
        <v/>
      </c>
      <c r="B256" s="12" t="str">
        <f aca="false">IF(TRIM(A256)="","",IFERROR(MID(SUBSTITUTE(SUBSTITUTE(A256,CHAR(10)," "),CHAR(13)," "),FIND(" MT"," "&amp;SUBSTITUTE(SUBSTITUTE(A256,CHAR(10)," "),CHAR(13)," ")),FIND(" ",SUBSTITUTE(SUBSTITUTE(A256,CHAR(10)," "),CHAR(13)," ")&amp;" ",FIND(" MT"," "&amp;SUBSTITUTE(SUBSTITUTE(A256,CHAR(10)," "),CHAR(13)," ")))-FIND(" MT"," "&amp;SUBSTITUTE(SUBSTITUTE(A256,CHAR(10)," "),CHAR(13)," "))),"MT no encontrado"))</f>
        <v/>
      </c>
      <c r="C256" s="15" t="str">
        <f aca="false">IF(TRIM(A256)="","",IF(D256="",FALSE(),SUBSTITUTE(SUBSTITUTE(SUBSTITUTE(D256,".",""),"0",""),"-","")&lt;&gt;""))</f>
        <v/>
      </c>
      <c r="D256" s="14" t="str">
        <f aca="false">IF(TRIM(A256)="","",IFERROR(MID((" "&amp;LEFT(SUBSTITUTE(A256,CHAR(13),""),FIND(CHAR(10),SUBSTITUTE(A256,CHAR(13),"")&amp;CHAR(10))-1)),(FIND("~",SUBSTITUTE(LEFT((" "&amp;LEFT(SUBSTITUTE(A256,CHAR(13),""),FIND(CHAR(10),SUBSTITUTE(A256,CHAR(13),"")&amp;CHAR(10))-1)),FIND(".",(" "&amp;LEFT(SUBSTITUTE(A256,CHAR(13),""),FIND(CHAR(10),SUBSTITUTE(A256,CHAR(13),"")&amp;CHAR(10))-1))))," ","~",LEN(LEFT((" "&amp;LEFT(SUBSTITUTE(A256,CHAR(13),""),FIND(CHAR(10),SUBSTITUTE(A256,CHAR(13),"")&amp;CHAR(10))-1)),FIND(".",(" "&amp;LEFT(SUBSTITUTE(A256,CHAR(13),""),FIND(CHAR(10),SUBSTITUTE(A256,CHAR(13),"")&amp;CHAR(10))-1)))))-LEN(SUBSTITUTE(LEFT((" "&amp;LEFT(SUBSTITUTE(A256,CHAR(13),""),FIND(CHAR(10),SUBSTITUTE(A256,CHAR(13),"")&amp;CHAR(10))-1)),FIND(".",(" "&amp;LEFT(SUBSTITUTE(A256,CHAR(13),""),FIND(CHAR(10),SUBSTITUTE(A256,CHAR(13),"")&amp;CHAR(10))-1))))," ",""))))+1),FIND(" ",(" "&amp;LEFT(SUBSTITUTE(A256,CHAR(13),""),FIND(CHAR(10),SUBSTITUTE(A256,CHAR(13),"")&amp;CHAR(10))-1))&amp;" ",FIND(".",(" "&amp;LEFT(SUBSTITUTE(A256,CHAR(13),""),FIND(CHAR(10),SUBSTITUTE(A256,CHAR(13),"")&amp;CHAR(10))-1))))-(FIND("~",SUBSTITUTE(LEFT((" "&amp;LEFT(SUBSTITUTE(A256,CHAR(13),""),FIND(CHAR(10),SUBSTITUTE(A256,CHAR(13),"")&amp;CHAR(10))-1)),FIND(".",(" "&amp;LEFT(SUBSTITUTE(A256,CHAR(13),""),FIND(CHAR(10),SUBSTITUTE(A256,CHAR(13),"")&amp;CHAR(10))-1))))," ","~",LEN(LEFT((" "&amp;LEFT(SUBSTITUTE(A256,CHAR(13),""),FIND(CHAR(10),SUBSTITUTE(A256,CHAR(13),"")&amp;CHAR(10))-1)),FIND(".",(" "&amp;LEFT(SUBSTITUTE(A256,CHAR(13),""),FIND(CHAR(10),SUBSTITUTE(A256,CHAR(13),"")&amp;CHAR(10))-1)))))-LEN(SUBSTITUTE(LEFT((" "&amp;LEFT(SUBSTITUTE(A256,CHAR(13),""),FIND(CHAR(10),SUBSTITUTE(A256,CHAR(13),"")&amp;CHAR(10))-1)),FIND(".",(" "&amp;LEFT(SUBSTITUTE(A256,CHAR(13),""),FIND(CHAR(10),SUBSTITUTE(A256,CHAR(13),"")&amp;CHAR(10))-1))))," ",""))))+1)),""))</f>
        <v/>
      </c>
    </row>
    <row r="257" customFormat="false" ht="30" hidden="false" customHeight="true" outlineLevel="0" collapsed="false">
      <c r="A257" s="11" t="str">
        <f aca="false">IFERROR(INDEX(Pegar!$A$3:$A$1002,MATCH(253,Pegar!$B$3:$B$1002,0))&amp;IF(LEFT(INDEX(Pegar!$A$3:$A$1003,MATCH(253,Pegar!$B$3:$B$1002,0)+1),5)="DESC=",CHAR(10)&amp;INDEX(Pegar!$A$3:$A$1003,MATCH(253,Pegar!$B$3:$B$1002,0)+1),""),"")</f>
        <v/>
      </c>
      <c r="B257" s="12" t="str">
        <f aca="false">IF(TRIM(A257)="","",IFERROR(MID(SUBSTITUTE(SUBSTITUTE(A257,CHAR(10)," "),CHAR(13)," "),FIND(" MT"," "&amp;SUBSTITUTE(SUBSTITUTE(A257,CHAR(10)," "),CHAR(13)," ")),FIND(" ",SUBSTITUTE(SUBSTITUTE(A257,CHAR(10)," "),CHAR(13)," ")&amp;" ",FIND(" MT"," "&amp;SUBSTITUTE(SUBSTITUTE(A257,CHAR(10)," "),CHAR(13)," ")))-FIND(" MT"," "&amp;SUBSTITUTE(SUBSTITUTE(A257,CHAR(10)," "),CHAR(13)," "))),"MT no encontrado"))</f>
        <v/>
      </c>
      <c r="C257" s="15" t="str">
        <f aca="false">IF(TRIM(A257)="","",IF(D257="",FALSE(),SUBSTITUTE(SUBSTITUTE(SUBSTITUTE(D257,".",""),"0",""),"-","")&lt;&gt;""))</f>
        <v/>
      </c>
      <c r="D257" s="14" t="str">
        <f aca="false">IF(TRIM(A257)="","",IFERROR(MID((" "&amp;LEFT(SUBSTITUTE(A257,CHAR(13),""),FIND(CHAR(10),SUBSTITUTE(A257,CHAR(13),"")&amp;CHAR(10))-1)),(FIND("~",SUBSTITUTE(LEFT((" "&amp;LEFT(SUBSTITUTE(A257,CHAR(13),""),FIND(CHAR(10),SUBSTITUTE(A257,CHAR(13),"")&amp;CHAR(10))-1)),FIND(".",(" "&amp;LEFT(SUBSTITUTE(A257,CHAR(13),""),FIND(CHAR(10),SUBSTITUTE(A257,CHAR(13),"")&amp;CHAR(10))-1))))," ","~",LEN(LEFT((" "&amp;LEFT(SUBSTITUTE(A257,CHAR(13),""),FIND(CHAR(10),SUBSTITUTE(A257,CHAR(13),"")&amp;CHAR(10))-1)),FIND(".",(" "&amp;LEFT(SUBSTITUTE(A257,CHAR(13),""),FIND(CHAR(10),SUBSTITUTE(A257,CHAR(13),"")&amp;CHAR(10))-1)))))-LEN(SUBSTITUTE(LEFT((" "&amp;LEFT(SUBSTITUTE(A257,CHAR(13),""),FIND(CHAR(10),SUBSTITUTE(A257,CHAR(13),"")&amp;CHAR(10))-1)),FIND(".",(" "&amp;LEFT(SUBSTITUTE(A257,CHAR(13),""),FIND(CHAR(10),SUBSTITUTE(A257,CHAR(13),"")&amp;CHAR(10))-1))))," ",""))))+1),FIND(" ",(" "&amp;LEFT(SUBSTITUTE(A257,CHAR(13),""),FIND(CHAR(10),SUBSTITUTE(A257,CHAR(13),"")&amp;CHAR(10))-1))&amp;" ",FIND(".",(" "&amp;LEFT(SUBSTITUTE(A257,CHAR(13),""),FIND(CHAR(10),SUBSTITUTE(A257,CHAR(13),"")&amp;CHAR(10))-1))))-(FIND("~",SUBSTITUTE(LEFT((" "&amp;LEFT(SUBSTITUTE(A257,CHAR(13),""),FIND(CHAR(10),SUBSTITUTE(A257,CHAR(13),"")&amp;CHAR(10))-1)),FIND(".",(" "&amp;LEFT(SUBSTITUTE(A257,CHAR(13),""),FIND(CHAR(10),SUBSTITUTE(A257,CHAR(13),"")&amp;CHAR(10))-1))))," ","~",LEN(LEFT((" "&amp;LEFT(SUBSTITUTE(A257,CHAR(13),""),FIND(CHAR(10),SUBSTITUTE(A257,CHAR(13),"")&amp;CHAR(10))-1)),FIND(".",(" "&amp;LEFT(SUBSTITUTE(A257,CHAR(13),""),FIND(CHAR(10),SUBSTITUTE(A257,CHAR(13),"")&amp;CHAR(10))-1)))))-LEN(SUBSTITUTE(LEFT((" "&amp;LEFT(SUBSTITUTE(A257,CHAR(13),""),FIND(CHAR(10),SUBSTITUTE(A257,CHAR(13),"")&amp;CHAR(10))-1)),FIND(".",(" "&amp;LEFT(SUBSTITUTE(A257,CHAR(13),""),FIND(CHAR(10),SUBSTITUTE(A257,CHAR(13),"")&amp;CHAR(10))-1))))," ",""))))+1)),""))</f>
        <v/>
      </c>
    </row>
    <row r="258" customFormat="false" ht="30" hidden="false" customHeight="true" outlineLevel="0" collapsed="false">
      <c r="A258" s="11" t="str">
        <f aca="false">IFERROR(INDEX(Pegar!$A$3:$A$1002,MATCH(254,Pegar!$B$3:$B$1002,0))&amp;IF(LEFT(INDEX(Pegar!$A$3:$A$1003,MATCH(254,Pegar!$B$3:$B$1002,0)+1),5)="DESC=",CHAR(10)&amp;INDEX(Pegar!$A$3:$A$1003,MATCH(254,Pegar!$B$3:$B$1002,0)+1),""),"")</f>
        <v/>
      </c>
      <c r="B258" s="12" t="str">
        <f aca="false">IF(TRIM(A258)="","",IFERROR(MID(SUBSTITUTE(SUBSTITUTE(A258,CHAR(10)," "),CHAR(13)," "),FIND(" MT"," "&amp;SUBSTITUTE(SUBSTITUTE(A258,CHAR(10)," "),CHAR(13)," ")),FIND(" ",SUBSTITUTE(SUBSTITUTE(A258,CHAR(10)," "),CHAR(13)," ")&amp;" ",FIND(" MT"," "&amp;SUBSTITUTE(SUBSTITUTE(A258,CHAR(10)," "),CHAR(13)," ")))-FIND(" MT"," "&amp;SUBSTITUTE(SUBSTITUTE(A258,CHAR(10)," "),CHAR(13)," "))),"MT no encontrado"))</f>
        <v/>
      </c>
      <c r="C258" s="15" t="str">
        <f aca="false">IF(TRIM(A258)="","",IF(D258="",FALSE(),SUBSTITUTE(SUBSTITUTE(SUBSTITUTE(D258,".",""),"0",""),"-","")&lt;&gt;""))</f>
        <v/>
      </c>
      <c r="D258" s="14" t="str">
        <f aca="false">IF(TRIM(A258)="","",IFERROR(MID((" "&amp;LEFT(SUBSTITUTE(A258,CHAR(13),""),FIND(CHAR(10),SUBSTITUTE(A258,CHAR(13),"")&amp;CHAR(10))-1)),(FIND("~",SUBSTITUTE(LEFT((" "&amp;LEFT(SUBSTITUTE(A258,CHAR(13),""),FIND(CHAR(10),SUBSTITUTE(A258,CHAR(13),"")&amp;CHAR(10))-1)),FIND(".",(" "&amp;LEFT(SUBSTITUTE(A258,CHAR(13),""),FIND(CHAR(10),SUBSTITUTE(A258,CHAR(13),"")&amp;CHAR(10))-1))))," ","~",LEN(LEFT((" "&amp;LEFT(SUBSTITUTE(A258,CHAR(13),""),FIND(CHAR(10),SUBSTITUTE(A258,CHAR(13),"")&amp;CHAR(10))-1)),FIND(".",(" "&amp;LEFT(SUBSTITUTE(A258,CHAR(13),""),FIND(CHAR(10),SUBSTITUTE(A258,CHAR(13),"")&amp;CHAR(10))-1)))))-LEN(SUBSTITUTE(LEFT((" "&amp;LEFT(SUBSTITUTE(A258,CHAR(13),""),FIND(CHAR(10),SUBSTITUTE(A258,CHAR(13),"")&amp;CHAR(10))-1)),FIND(".",(" "&amp;LEFT(SUBSTITUTE(A258,CHAR(13),""),FIND(CHAR(10),SUBSTITUTE(A258,CHAR(13),"")&amp;CHAR(10))-1))))," ",""))))+1),FIND(" ",(" "&amp;LEFT(SUBSTITUTE(A258,CHAR(13),""),FIND(CHAR(10),SUBSTITUTE(A258,CHAR(13),"")&amp;CHAR(10))-1))&amp;" ",FIND(".",(" "&amp;LEFT(SUBSTITUTE(A258,CHAR(13),""),FIND(CHAR(10),SUBSTITUTE(A258,CHAR(13),"")&amp;CHAR(10))-1))))-(FIND("~",SUBSTITUTE(LEFT((" "&amp;LEFT(SUBSTITUTE(A258,CHAR(13),""),FIND(CHAR(10),SUBSTITUTE(A258,CHAR(13),"")&amp;CHAR(10))-1)),FIND(".",(" "&amp;LEFT(SUBSTITUTE(A258,CHAR(13),""),FIND(CHAR(10),SUBSTITUTE(A258,CHAR(13),"")&amp;CHAR(10))-1))))," ","~",LEN(LEFT((" "&amp;LEFT(SUBSTITUTE(A258,CHAR(13),""),FIND(CHAR(10),SUBSTITUTE(A258,CHAR(13),"")&amp;CHAR(10))-1)),FIND(".",(" "&amp;LEFT(SUBSTITUTE(A258,CHAR(13),""),FIND(CHAR(10),SUBSTITUTE(A258,CHAR(13),"")&amp;CHAR(10))-1)))))-LEN(SUBSTITUTE(LEFT((" "&amp;LEFT(SUBSTITUTE(A258,CHAR(13),""),FIND(CHAR(10),SUBSTITUTE(A258,CHAR(13),"")&amp;CHAR(10))-1)),FIND(".",(" "&amp;LEFT(SUBSTITUTE(A258,CHAR(13),""),FIND(CHAR(10),SUBSTITUTE(A258,CHAR(13),"")&amp;CHAR(10))-1))))," ",""))))+1)),""))</f>
        <v/>
      </c>
    </row>
    <row r="259" customFormat="false" ht="30" hidden="false" customHeight="true" outlineLevel="0" collapsed="false">
      <c r="A259" s="11" t="str">
        <f aca="false">IFERROR(INDEX(Pegar!$A$3:$A$1002,MATCH(255,Pegar!$B$3:$B$1002,0))&amp;IF(LEFT(INDEX(Pegar!$A$3:$A$1003,MATCH(255,Pegar!$B$3:$B$1002,0)+1),5)="DESC=",CHAR(10)&amp;INDEX(Pegar!$A$3:$A$1003,MATCH(255,Pegar!$B$3:$B$1002,0)+1),""),"")</f>
        <v/>
      </c>
      <c r="B259" s="12" t="str">
        <f aca="false">IF(TRIM(A259)="","",IFERROR(MID(SUBSTITUTE(SUBSTITUTE(A259,CHAR(10)," "),CHAR(13)," "),FIND(" MT"," "&amp;SUBSTITUTE(SUBSTITUTE(A259,CHAR(10)," "),CHAR(13)," ")),FIND(" ",SUBSTITUTE(SUBSTITUTE(A259,CHAR(10)," "),CHAR(13)," ")&amp;" ",FIND(" MT"," "&amp;SUBSTITUTE(SUBSTITUTE(A259,CHAR(10)," "),CHAR(13)," ")))-FIND(" MT"," "&amp;SUBSTITUTE(SUBSTITUTE(A259,CHAR(10)," "),CHAR(13)," "))),"MT no encontrado"))</f>
        <v/>
      </c>
      <c r="C259" s="15" t="str">
        <f aca="false">IF(TRIM(A259)="","",IF(D259="",FALSE(),SUBSTITUTE(SUBSTITUTE(SUBSTITUTE(D259,".",""),"0",""),"-","")&lt;&gt;""))</f>
        <v/>
      </c>
      <c r="D259" s="14" t="str">
        <f aca="false">IF(TRIM(A259)="","",IFERROR(MID((" "&amp;LEFT(SUBSTITUTE(A259,CHAR(13),""),FIND(CHAR(10),SUBSTITUTE(A259,CHAR(13),"")&amp;CHAR(10))-1)),(FIND("~",SUBSTITUTE(LEFT((" "&amp;LEFT(SUBSTITUTE(A259,CHAR(13),""),FIND(CHAR(10),SUBSTITUTE(A259,CHAR(13),"")&amp;CHAR(10))-1)),FIND(".",(" "&amp;LEFT(SUBSTITUTE(A259,CHAR(13),""),FIND(CHAR(10),SUBSTITUTE(A259,CHAR(13),"")&amp;CHAR(10))-1))))," ","~",LEN(LEFT((" "&amp;LEFT(SUBSTITUTE(A259,CHAR(13),""),FIND(CHAR(10),SUBSTITUTE(A259,CHAR(13),"")&amp;CHAR(10))-1)),FIND(".",(" "&amp;LEFT(SUBSTITUTE(A259,CHAR(13),""),FIND(CHAR(10),SUBSTITUTE(A259,CHAR(13),"")&amp;CHAR(10))-1)))))-LEN(SUBSTITUTE(LEFT((" "&amp;LEFT(SUBSTITUTE(A259,CHAR(13),""),FIND(CHAR(10),SUBSTITUTE(A259,CHAR(13),"")&amp;CHAR(10))-1)),FIND(".",(" "&amp;LEFT(SUBSTITUTE(A259,CHAR(13),""),FIND(CHAR(10),SUBSTITUTE(A259,CHAR(13),"")&amp;CHAR(10))-1))))," ",""))))+1),FIND(" ",(" "&amp;LEFT(SUBSTITUTE(A259,CHAR(13),""),FIND(CHAR(10),SUBSTITUTE(A259,CHAR(13),"")&amp;CHAR(10))-1))&amp;" ",FIND(".",(" "&amp;LEFT(SUBSTITUTE(A259,CHAR(13),""),FIND(CHAR(10),SUBSTITUTE(A259,CHAR(13),"")&amp;CHAR(10))-1))))-(FIND("~",SUBSTITUTE(LEFT((" "&amp;LEFT(SUBSTITUTE(A259,CHAR(13),""),FIND(CHAR(10),SUBSTITUTE(A259,CHAR(13),"")&amp;CHAR(10))-1)),FIND(".",(" "&amp;LEFT(SUBSTITUTE(A259,CHAR(13),""),FIND(CHAR(10),SUBSTITUTE(A259,CHAR(13),"")&amp;CHAR(10))-1))))," ","~",LEN(LEFT((" "&amp;LEFT(SUBSTITUTE(A259,CHAR(13),""),FIND(CHAR(10),SUBSTITUTE(A259,CHAR(13),"")&amp;CHAR(10))-1)),FIND(".",(" "&amp;LEFT(SUBSTITUTE(A259,CHAR(13),""),FIND(CHAR(10),SUBSTITUTE(A259,CHAR(13),"")&amp;CHAR(10))-1)))))-LEN(SUBSTITUTE(LEFT((" "&amp;LEFT(SUBSTITUTE(A259,CHAR(13),""),FIND(CHAR(10),SUBSTITUTE(A259,CHAR(13),"")&amp;CHAR(10))-1)),FIND(".",(" "&amp;LEFT(SUBSTITUTE(A259,CHAR(13),""),FIND(CHAR(10),SUBSTITUTE(A259,CHAR(13),"")&amp;CHAR(10))-1))))," ",""))))+1)),""))</f>
        <v/>
      </c>
    </row>
    <row r="260" customFormat="false" ht="30" hidden="false" customHeight="true" outlineLevel="0" collapsed="false">
      <c r="A260" s="11" t="str">
        <f aca="false">IFERROR(INDEX(Pegar!$A$3:$A$1002,MATCH(256,Pegar!$B$3:$B$1002,0))&amp;IF(LEFT(INDEX(Pegar!$A$3:$A$1003,MATCH(256,Pegar!$B$3:$B$1002,0)+1),5)="DESC=",CHAR(10)&amp;INDEX(Pegar!$A$3:$A$1003,MATCH(256,Pegar!$B$3:$B$1002,0)+1),""),"")</f>
        <v/>
      </c>
      <c r="B260" s="12" t="str">
        <f aca="false">IF(TRIM(A260)="","",IFERROR(MID(SUBSTITUTE(SUBSTITUTE(A260,CHAR(10)," "),CHAR(13)," "),FIND(" MT"," "&amp;SUBSTITUTE(SUBSTITUTE(A260,CHAR(10)," "),CHAR(13)," ")),FIND(" ",SUBSTITUTE(SUBSTITUTE(A260,CHAR(10)," "),CHAR(13)," ")&amp;" ",FIND(" MT"," "&amp;SUBSTITUTE(SUBSTITUTE(A260,CHAR(10)," "),CHAR(13)," ")))-FIND(" MT"," "&amp;SUBSTITUTE(SUBSTITUTE(A260,CHAR(10)," "),CHAR(13)," "))),"MT no encontrado"))</f>
        <v/>
      </c>
      <c r="C260" s="15" t="str">
        <f aca="false">IF(TRIM(A260)="","",IF(D260="",FALSE(),SUBSTITUTE(SUBSTITUTE(SUBSTITUTE(D260,".",""),"0",""),"-","")&lt;&gt;""))</f>
        <v/>
      </c>
      <c r="D260" s="14" t="str">
        <f aca="false">IF(TRIM(A260)="","",IFERROR(MID((" "&amp;LEFT(SUBSTITUTE(A260,CHAR(13),""),FIND(CHAR(10),SUBSTITUTE(A260,CHAR(13),"")&amp;CHAR(10))-1)),(FIND("~",SUBSTITUTE(LEFT((" "&amp;LEFT(SUBSTITUTE(A260,CHAR(13),""),FIND(CHAR(10),SUBSTITUTE(A260,CHAR(13),"")&amp;CHAR(10))-1)),FIND(".",(" "&amp;LEFT(SUBSTITUTE(A260,CHAR(13),""),FIND(CHAR(10),SUBSTITUTE(A260,CHAR(13),"")&amp;CHAR(10))-1))))," ","~",LEN(LEFT((" "&amp;LEFT(SUBSTITUTE(A260,CHAR(13),""),FIND(CHAR(10),SUBSTITUTE(A260,CHAR(13),"")&amp;CHAR(10))-1)),FIND(".",(" "&amp;LEFT(SUBSTITUTE(A260,CHAR(13),""),FIND(CHAR(10),SUBSTITUTE(A260,CHAR(13),"")&amp;CHAR(10))-1)))))-LEN(SUBSTITUTE(LEFT((" "&amp;LEFT(SUBSTITUTE(A260,CHAR(13),""),FIND(CHAR(10),SUBSTITUTE(A260,CHAR(13),"")&amp;CHAR(10))-1)),FIND(".",(" "&amp;LEFT(SUBSTITUTE(A260,CHAR(13),""),FIND(CHAR(10),SUBSTITUTE(A260,CHAR(13),"")&amp;CHAR(10))-1))))," ",""))))+1),FIND(" ",(" "&amp;LEFT(SUBSTITUTE(A260,CHAR(13),""),FIND(CHAR(10),SUBSTITUTE(A260,CHAR(13),"")&amp;CHAR(10))-1))&amp;" ",FIND(".",(" "&amp;LEFT(SUBSTITUTE(A260,CHAR(13),""),FIND(CHAR(10),SUBSTITUTE(A260,CHAR(13),"")&amp;CHAR(10))-1))))-(FIND("~",SUBSTITUTE(LEFT((" "&amp;LEFT(SUBSTITUTE(A260,CHAR(13),""),FIND(CHAR(10),SUBSTITUTE(A260,CHAR(13),"")&amp;CHAR(10))-1)),FIND(".",(" "&amp;LEFT(SUBSTITUTE(A260,CHAR(13),""),FIND(CHAR(10),SUBSTITUTE(A260,CHAR(13),"")&amp;CHAR(10))-1))))," ","~",LEN(LEFT((" "&amp;LEFT(SUBSTITUTE(A260,CHAR(13),""),FIND(CHAR(10),SUBSTITUTE(A260,CHAR(13),"")&amp;CHAR(10))-1)),FIND(".",(" "&amp;LEFT(SUBSTITUTE(A260,CHAR(13),""),FIND(CHAR(10),SUBSTITUTE(A260,CHAR(13),"")&amp;CHAR(10))-1)))))-LEN(SUBSTITUTE(LEFT((" "&amp;LEFT(SUBSTITUTE(A260,CHAR(13),""),FIND(CHAR(10),SUBSTITUTE(A260,CHAR(13),"")&amp;CHAR(10))-1)),FIND(".",(" "&amp;LEFT(SUBSTITUTE(A260,CHAR(13),""),FIND(CHAR(10),SUBSTITUTE(A260,CHAR(13),"")&amp;CHAR(10))-1))))," ",""))))+1)),""))</f>
        <v/>
      </c>
    </row>
    <row r="261" customFormat="false" ht="30" hidden="false" customHeight="true" outlineLevel="0" collapsed="false">
      <c r="A261" s="11" t="str">
        <f aca="false">IFERROR(INDEX(Pegar!$A$3:$A$1002,MATCH(257,Pegar!$B$3:$B$1002,0))&amp;IF(LEFT(INDEX(Pegar!$A$3:$A$1003,MATCH(257,Pegar!$B$3:$B$1002,0)+1),5)="DESC=",CHAR(10)&amp;INDEX(Pegar!$A$3:$A$1003,MATCH(257,Pegar!$B$3:$B$1002,0)+1),""),"")</f>
        <v/>
      </c>
      <c r="B261" s="12" t="str">
        <f aca="false">IF(TRIM(A261)="","",IFERROR(MID(SUBSTITUTE(SUBSTITUTE(A261,CHAR(10)," "),CHAR(13)," "),FIND(" MT"," "&amp;SUBSTITUTE(SUBSTITUTE(A261,CHAR(10)," "),CHAR(13)," ")),FIND(" ",SUBSTITUTE(SUBSTITUTE(A261,CHAR(10)," "),CHAR(13)," ")&amp;" ",FIND(" MT"," "&amp;SUBSTITUTE(SUBSTITUTE(A261,CHAR(10)," "),CHAR(13)," ")))-FIND(" MT"," "&amp;SUBSTITUTE(SUBSTITUTE(A261,CHAR(10)," "),CHAR(13)," "))),"MT no encontrado"))</f>
        <v/>
      </c>
      <c r="C261" s="15" t="str">
        <f aca="false">IF(TRIM(A261)="","",IF(D261="",FALSE(),SUBSTITUTE(SUBSTITUTE(SUBSTITUTE(D261,".",""),"0",""),"-","")&lt;&gt;""))</f>
        <v/>
      </c>
      <c r="D261" s="14" t="str">
        <f aca="false">IF(TRIM(A261)="","",IFERROR(MID((" "&amp;LEFT(SUBSTITUTE(A261,CHAR(13),""),FIND(CHAR(10),SUBSTITUTE(A261,CHAR(13),"")&amp;CHAR(10))-1)),(FIND("~",SUBSTITUTE(LEFT((" "&amp;LEFT(SUBSTITUTE(A261,CHAR(13),""),FIND(CHAR(10),SUBSTITUTE(A261,CHAR(13),"")&amp;CHAR(10))-1)),FIND(".",(" "&amp;LEFT(SUBSTITUTE(A261,CHAR(13),""),FIND(CHAR(10),SUBSTITUTE(A261,CHAR(13),"")&amp;CHAR(10))-1))))," ","~",LEN(LEFT((" "&amp;LEFT(SUBSTITUTE(A261,CHAR(13),""),FIND(CHAR(10),SUBSTITUTE(A261,CHAR(13),"")&amp;CHAR(10))-1)),FIND(".",(" "&amp;LEFT(SUBSTITUTE(A261,CHAR(13),""),FIND(CHAR(10),SUBSTITUTE(A261,CHAR(13),"")&amp;CHAR(10))-1)))))-LEN(SUBSTITUTE(LEFT((" "&amp;LEFT(SUBSTITUTE(A261,CHAR(13),""),FIND(CHAR(10),SUBSTITUTE(A261,CHAR(13),"")&amp;CHAR(10))-1)),FIND(".",(" "&amp;LEFT(SUBSTITUTE(A261,CHAR(13),""),FIND(CHAR(10),SUBSTITUTE(A261,CHAR(13),"")&amp;CHAR(10))-1))))," ",""))))+1),FIND(" ",(" "&amp;LEFT(SUBSTITUTE(A261,CHAR(13),""),FIND(CHAR(10),SUBSTITUTE(A261,CHAR(13),"")&amp;CHAR(10))-1))&amp;" ",FIND(".",(" "&amp;LEFT(SUBSTITUTE(A261,CHAR(13),""),FIND(CHAR(10),SUBSTITUTE(A261,CHAR(13),"")&amp;CHAR(10))-1))))-(FIND("~",SUBSTITUTE(LEFT((" "&amp;LEFT(SUBSTITUTE(A261,CHAR(13),""),FIND(CHAR(10),SUBSTITUTE(A261,CHAR(13),"")&amp;CHAR(10))-1)),FIND(".",(" "&amp;LEFT(SUBSTITUTE(A261,CHAR(13),""),FIND(CHAR(10),SUBSTITUTE(A261,CHAR(13),"")&amp;CHAR(10))-1))))," ","~",LEN(LEFT((" "&amp;LEFT(SUBSTITUTE(A261,CHAR(13),""),FIND(CHAR(10),SUBSTITUTE(A261,CHAR(13),"")&amp;CHAR(10))-1)),FIND(".",(" "&amp;LEFT(SUBSTITUTE(A261,CHAR(13),""),FIND(CHAR(10),SUBSTITUTE(A261,CHAR(13),"")&amp;CHAR(10))-1)))))-LEN(SUBSTITUTE(LEFT((" "&amp;LEFT(SUBSTITUTE(A261,CHAR(13),""),FIND(CHAR(10),SUBSTITUTE(A261,CHAR(13),"")&amp;CHAR(10))-1)),FIND(".",(" "&amp;LEFT(SUBSTITUTE(A261,CHAR(13),""),FIND(CHAR(10),SUBSTITUTE(A261,CHAR(13),"")&amp;CHAR(10))-1))))," ",""))))+1)),""))</f>
        <v/>
      </c>
    </row>
    <row r="262" customFormat="false" ht="30" hidden="false" customHeight="true" outlineLevel="0" collapsed="false">
      <c r="A262" s="11" t="str">
        <f aca="false">IFERROR(INDEX(Pegar!$A$3:$A$1002,MATCH(258,Pegar!$B$3:$B$1002,0))&amp;IF(LEFT(INDEX(Pegar!$A$3:$A$1003,MATCH(258,Pegar!$B$3:$B$1002,0)+1),5)="DESC=",CHAR(10)&amp;INDEX(Pegar!$A$3:$A$1003,MATCH(258,Pegar!$B$3:$B$1002,0)+1),""),"")</f>
        <v/>
      </c>
      <c r="B262" s="12" t="str">
        <f aca="false">IF(TRIM(A262)="","",IFERROR(MID(SUBSTITUTE(SUBSTITUTE(A262,CHAR(10)," "),CHAR(13)," "),FIND(" MT"," "&amp;SUBSTITUTE(SUBSTITUTE(A262,CHAR(10)," "),CHAR(13)," ")),FIND(" ",SUBSTITUTE(SUBSTITUTE(A262,CHAR(10)," "),CHAR(13)," ")&amp;" ",FIND(" MT"," "&amp;SUBSTITUTE(SUBSTITUTE(A262,CHAR(10)," "),CHAR(13)," ")))-FIND(" MT"," "&amp;SUBSTITUTE(SUBSTITUTE(A262,CHAR(10)," "),CHAR(13)," "))),"MT no encontrado"))</f>
        <v/>
      </c>
      <c r="C262" s="15" t="str">
        <f aca="false">IF(TRIM(A262)="","",IF(D262="",FALSE(),SUBSTITUTE(SUBSTITUTE(SUBSTITUTE(D262,".",""),"0",""),"-","")&lt;&gt;""))</f>
        <v/>
      </c>
      <c r="D262" s="14" t="str">
        <f aca="false">IF(TRIM(A262)="","",IFERROR(MID((" "&amp;LEFT(SUBSTITUTE(A262,CHAR(13),""),FIND(CHAR(10),SUBSTITUTE(A262,CHAR(13),"")&amp;CHAR(10))-1)),(FIND("~",SUBSTITUTE(LEFT((" "&amp;LEFT(SUBSTITUTE(A262,CHAR(13),""),FIND(CHAR(10),SUBSTITUTE(A262,CHAR(13),"")&amp;CHAR(10))-1)),FIND(".",(" "&amp;LEFT(SUBSTITUTE(A262,CHAR(13),""),FIND(CHAR(10),SUBSTITUTE(A262,CHAR(13),"")&amp;CHAR(10))-1))))," ","~",LEN(LEFT((" "&amp;LEFT(SUBSTITUTE(A262,CHAR(13),""),FIND(CHAR(10),SUBSTITUTE(A262,CHAR(13),"")&amp;CHAR(10))-1)),FIND(".",(" "&amp;LEFT(SUBSTITUTE(A262,CHAR(13),""),FIND(CHAR(10),SUBSTITUTE(A262,CHAR(13),"")&amp;CHAR(10))-1)))))-LEN(SUBSTITUTE(LEFT((" "&amp;LEFT(SUBSTITUTE(A262,CHAR(13),""),FIND(CHAR(10),SUBSTITUTE(A262,CHAR(13),"")&amp;CHAR(10))-1)),FIND(".",(" "&amp;LEFT(SUBSTITUTE(A262,CHAR(13),""),FIND(CHAR(10),SUBSTITUTE(A262,CHAR(13),"")&amp;CHAR(10))-1))))," ",""))))+1),FIND(" ",(" "&amp;LEFT(SUBSTITUTE(A262,CHAR(13),""),FIND(CHAR(10),SUBSTITUTE(A262,CHAR(13),"")&amp;CHAR(10))-1))&amp;" ",FIND(".",(" "&amp;LEFT(SUBSTITUTE(A262,CHAR(13),""),FIND(CHAR(10),SUBSTITUTE(A262,CHAR(13),"")&amp;CHAR(10))-1))))-(FIND("~",SUBSTITUTE(LEFT((" "&amp;LEFT(SUBSTITUTE(A262,CHAR(13),""),FIND(CHAR(10),SUBSTITUTE(A262,CHAR(13),"")&amp;CHAR(10))-1)),FIND(".",(" "&amp;LEFT(SUBSTITUTE(A262,CHAR(13),""),FIND(CHAR(10),SUBSTITUTE(A262,CHAR(13),"")&amp;CHAR(10))-1))))," ","~",LEN(LEFT((" "&amp;LEFT(SUBSTITUTE(A262,CHAR(13),""),FIND(CHAR(10),SUBSTITUTE(A262,CHAR(13),"")&amp;CHAR(10))-1)),FIND(".",(" "&amp;LEFT(SUBSTITUTE(A262,CHAR(13),""),FIND(CHAR(10),SUBSTITUTE(A262,CHAR(13),"")&amp;CHAR(10))-1)))))-LEN(SUBSTITUTE(LEFT((" "&amp;LEFT(SUBSTITUTE(A262,CHAR(13),""),FIND(CHAR(10),SUBSTITUTE(A262,CHAR(13),"")&amp;CHAR(10))-1)),FIND(".",(" "&amp;LEFT(SUBSTITUTE(A262,CHAR(13),""),FIND(CHAR(10),SUBSTITUTE(A262,CHAR(13),"")&amp;CHAR(10))-1))))," ",""))))+1)),""))</f>
        <v/>
      </c>
    </row>
    <row r="263" customFormat="false" ht="30" hidden="false" customHeight="true" outlineLevel="0" collapsed="false">
      <c r="A263" s="11" t="str">
        <f aca="false">IFERROR(INDEX(Pegar!$A$3:$A$1002,MATCH(259,Pegar!$B$3:$B$1002,0))&amp;IF(LEFT(INDEX(Pegar!$A$3:$A$1003,MATCH(259,Pegar!$B$3:$B$1002,0)+1),5)="DESC=",CHAR(10)&amp;INDEX(Pegar!$A$3:$A$1003,MATCH(259,Pegar!$B$3:$B$1002,0)+1),""),"")</f>
        <v/>
      </c>
      <c r="B263" s="12" t="str">
        <f aca="false">IF(TRIM(A263)="","",IFERROR(MID(SUBSTITUTE(SUBSTITUTE(A263,CHAR(10)," "),CHAR(13)," "),FIND(" MT"," "&amp;SUBSTITUTE(SUBSTITUTE(A263,CHAR(10)," "),CHAR(13)," ")),FIND(" ",SUBSTITUTE(SUBSTITUTE(A263,CHAR(10)," "),CHAR(13)," ")&amp;" ",FIND(" MT"," "&amp;SUBSTITUTE(SUBSTITUTE(A263,CHAR(10)," "),CHAR(13)," ")))-FIND(" MT"," "&amp;SUBSTITUTE(SUBSTITUTE(A263,CHAR(10)," "),CHAR(13)," "))),"MT no encontrado"))</f>
        <v/>
      </c>
      <c r="C263" s="15" t="str">
        <f aca="false">IF(TRIM(A263)="","",IF(D263="",FALSE(),SUBSTITUTE(SUBSTITUTE(SUBSTITUTE(D263,".",""),"0",""),"-","")&lt;&gt;""))</f>
        <v/>
      </c>
      <c r="D263" s="14" t="str">
        <f aca="false">IF(TRIM(A263)="","",IFERROR(MID((" "&amp;LEFT(SUBSTITUTE(A263,CHAR(13),""),FIND(CHAR(10),SUBSTITUTE(A263,CHAR(13),"")&amp;CHAR(10))-1)),(FIND("~",SUBSTITUTE(LEFT((" "&amp;LEFT(SUBSTITUTE(A263,CHAR(13),""),FIND(CHAR(10),SUBSTITUTE(A263,CHAR(13),"")&amp;CHAR(10))-1)),FIND(".",(" "&amp;LEFT(SUBSTITUTE(A263,CHAR(13),""),FIND(CHAR(10),SUBSTITUTE(A263,CHAR(13),"")&amp;CHAR(10))-1))))," ","~",LEN(LEFT((" "&amp;LEFT(SUBSTITUTE(A263,CHAR(13),""),FIND(CHAR(10),SUBSTITUTE(A263,CHAR(13),"")&amp;CHAR(10))-1)),FIND(".",(" "&amp;LEFT(SUBSTITUTE(A263,CHAR(13),""),FIND(CHAR(10),SUBSTITUTE(A263,CHAR(13),"")&amp;CHAR(10))-1)))))-LEN(SUBSTITUTE(LEFT((" "&amp;LEFT(SUBSTITUTE(A263,CHAR(13),""),FIND(CHAR(10),SUBSTITUTE(A263,CHAR(13),"")&amp;CHAR(10))-1)),FIND(".",(" "&amp;LEFT(SUBSTITUTE(A263,CHAR(13),""),FIND(CHAR(10),SUBSTITUTE(A263,CHAR(13),"")&amp;CHAR(10))-1))))," ",""))))+1),FIND(" ",(" "&amp;LEFT(SUBSTITUTE(A263,CHAR(13),""),FIND(CHAR(10),SUBSTITUTE(A263,CHAR(13),"")&amp;CHAR(10))-1))&amp;" ",FIND(".",(" "&amp;LEFT(SUBSTITUTE(A263,CHAR(13),""),FIND(CHAR(10),SUBSTITUTE(A263,CHAR(13),"")&amp;CHAR(10))-1))))-(FIND("~",SUBSTITUTE(LEFT((" "&amp;LEFT(SUBSTITUTE(A263,CHAR(13),""),FIND(CHAR(10),SUBSTITUTE(A263,CHAR(13),"")&amp;CHAR(10))-1)),FIND(".",(" "&amp;LEFT(SUBSTITUTE(A263,CHAR(13),""),FIND(CHAR(10),SUBSTITUTE(A263,CHAR(13),"")&amp;CHAR(10))-1))))," ","~",LEN(LEFT((" "&amp;LEFT(SUBSTITUTE(A263,CHAR(13),""),FIND(CHAR(10),SUBSTITUTE(A263,CHAR(13),"")&amp;CHAR(10))-1)),FIND(".",(" "&amp;LEFT(SUBSTITUTE(A263,CHAR(13),""),FIND(CHAR(10),SUBSTITUTE(A263,CHAR(13),"")&amp;CHAR(10))-1)))))-LEN(SUBSTITUTE(LEFT((" "&amp;LEFT(SUBSTITUTE(A263,CHAR(13),""),FIND(CHAR(10),SUBSTITUTE(A263,CHAR(13),"")&amp;CHAR(10))-1)),FIND(".",(" "&amp;LEFT(SUBSTITUTE(A263,CHAR(13),""),FIND(CHAR(10),SUBSTITUTE(A263,CHAR(13),"")&amp;CHAR(10))-1))))," ",""))))+1)),""))</f>
        <v/>
      </c>
    </row>
    <row r="264" customFormat="false" ht="30" hidden="false" customHeight="true" outlineLevel="0" collapsed="false">
      <c r="A264" s="11" t="str">
        <f aca="false">IFERROR(INDEX(Pegar!$A$3:$A$1002,MATCH(260,Pegar!$B$3:$B$1002,0))&amp;IF(LEFT(INDEX(Pegar!$A$3:$A$1003,MATCH(260,Pegar!$B$3:$B$1002,0)+1),5)="DESC=",CHAR(10)&amp;INDEX(Pegar!$A$3:$A$1003,MATCH(260,Pegar!$B$3:$B$1002,0)+1),""),"")</f>
        <v/>
      </c>
      <c r="B264" s="12" t="str">
        <f aca="false">IF(TRIM(A264)="","",IFERROR(MID(SUBSTITUTE(SUBSTITUTE(A264,CHAR(10)," "),CHAR(13)," "),FIND(" MT"," "&amp;SUBSTITUTE(SUBSTITUTE(A264,CHAR(10)," "),CHAR(13)," ")),FIND(" ",SUBSTITUTE(SUBSTITUTE(A264,CHAR(10)," "),CHAR(13)," ")&amp;" ",FIND(" MT"," "&amp;SUBSTITUTE(SUBSTITUTE(A264,CHAR(10)," "),CHAR(13)," ")))-FIND(" MT"," "&amp;SUBSTITUTE(SUBSTITUTE(A264,CHAR(10)," "),CHAR(13)," "))),"MT no encontrado"))</f>
        <v/>
      </c>
      <c r="C264" s="15" t="str">
        <f aca="false">IF(TRIM(A264)="","",IF(D264="",FALSE(),SUBSTITUTE(SUBSTITUTE(SUBSTITUTE(D264,".",""),"0",""),"-","")&lt;&gt;""))</f>
        <v/>
      </c>
      <c r="D264" s="14" t="str">
        <f aca="false">IF(TRIM(A264)="","",IFERROR(MID((" "&amp;LEFT(SUBSTITUTE(A264,CHAR(13),""),FIND(CHAR(10),SUBSTITUTE(A264,CHAR(13),"")&amp;CHAR(10))-1)),(FIND("~",SUBSTITUTE(LEFT((" "&amp;LEFT(SUBSTITUTE(A264,CHAR(13),""),FIND(CHAR(10),SUBSTITUTE(A264,CHAR(13),"")&amp;CHAR(10))-1)),FIND(".",(" "&amp;LEFT(SUBSTITUTE(A264,CHAR(13),""),FIND(CHAR(10),SUBSTITUTE(A264,CHAR(13),"")&amp;CHAR(10))-1))))," ","~",LEN(LEFT((" "&amp;LEFT(SUBSTITUTE(A264,CHAR(13),""),FIND(CHAR(10),SUBSTITUTE(A264,CHAR(13),"")&amp;CHAR(10))-1)),FIND(".",(" "&amp;LEFT(SUBSTITUTE(A264,CHAR(13),""),FIND(CHAR(10),SUBSTITUTE(A264,CHAR(13),"")&amp;CHAR(10))-1)))))-LEN(SUBSTITUTE(LEFT((" "&amp;LEFT(SUBSTITUTE(A264,CHAR(13),""),FIND(CHAR(10),SUBSTITUTE(A264,CHAR(13),"")&amp;CHAR(10))-1)),FIND(".",(" "&amp;LEFT(SUBSTITUTE(A264,CHAR(13),""),FIND(CHAR(10),SUBSTITUTE(A264,CHAR(13),"")&amp;CHAR(10))-1))))," ",""))))+1),FIND(" ",(" "&amp;LEFT(SUBSTITUTE(A264,CHAR(13),""),FIND(CHAR(10),SUBSTITUTE(A264,CHAR(13),"")&amp;CHAR(10))-1))&amp;" ",FIND(".",(" "&amp;LEFT(SUBSTITUTE(A264,CHAR(13),""),FIND(CHAR(10),SUBSTITUTE(A264,CHAR(13),"")&amp;CHAR(10))-1))))-(FIND("~",SUBSTITUTE(LEFT((" "&amp;LEFT(SUBSTITUTE(A264,CHAR(13),""),FIND(CHAR(10),SUBSTITUTE(A264,CHAR(13),"")&amp;CHAR(10))-1)),FIND(".",(" "&amp;LEFT(SUBSTITUTE(A264,CHAR(13),""),FIND(CHAR(10),SUBSTITUTE(A264,CHAR(13),"")&amp;CHAR(10))-1))))," ","~",LEN(LEFT((" "&amp;LEFT(SUBSTITUTE(A264,CHAR(13),""),FIND(CHAR(10),SUBSTITUTE(A264,CHAR(13),"")&amp;CHAR(10))-1)),FIND(".",(" "&amp;LEFT(SUBSTITUTE(A264,CHAR(13),""),FIND(CHAR(10),SUBSTITUTE(A264,CHAR(13),"")&amp;CHAR(10))-1)))))-LEN(SUBSTITUTE(LEFT((" "&amp;LEFT(SUBSTITUTE(A264,CHAR(13),""),FIND(CHAR(10),SUBSTITUTE(A264,CHAR(13),"")&amp;CHAR(10))-1)),FIND(".",(" "&amp;LEFT(SUBSTITUTE(A264,CHAR(13),""),FIND(CHAR(10),SUBSTITUTE(A264,CHAR(13),"")&amp;CHAR(10))-1))))," ",""))))+1)),""))</f>
        <v/>
      </c>
    </row>
    <row r="265" customFormat="false" ht="30" hidden="false" customHeight="true" outlineLevel="0" collapsed="false">
      <c r="A265" s="11" t="str">
        <f aca="false">IFERROR(INDEX(Pegar!$A$3:$A$1002,MATCH(261,Pegar!$B$3:$B$1002,0))&amp;IF(LEFT(INDEX(Pegar!$A$3:$A$1003,MATCH(261,Pegar!$B$3:$B$1002,0)+1),5)="DESC=",CHAR(10)&amp;INDEX(Pegar!$A$3:$A$1003,MATCH(261,Pegar!$B$3:$B$1002,0)+1),""),"")</f>
        <v/>
      </c>
      <c r="B265" s="12" t="str">
        <f aca="false">IF(TRIM(A265)="","",IFERROR(MID(SUBSTITUTE(SUBSTITUTE(A265,CHAR(10)," "),CHAR(13)," "),FIND(" MT"," "&amp;SUBSTITUTE(SUBSTITUTE(A265,CHAR(10)," "),CHAR(13)," ")),FIND(" ",SUBSTITUTE(SUBSTITUTE(A265,CHAR(10)," "),CHAR(13)," ")&amp;" ",FIND(" MT"," "&amp;SUBSTITUTE(SUBSTITUTE(A265,CHAR(10)," "),CHAR(13)," ")))-FIND(" MT"," "&amp;SUBSTITUTE(SUBSTITUTE(A265,CHAR(10)," "),CHAR(13)," "))),"MT no encontrado"))</f>
        <v/>
      </c>
      <c r="C265" s="15" t="str">
        <f aca="false">IF(TRIM(A265)="","",IF(D265="",FALSE(),SUBSTITUTE(SUBSTITUTE(SUBSTITUTE(D265,".",""),"0",""),"-","")&lt;&gt;""))</f>
        <v/>
      </c>
      <c r="D265" s="14" t="str">
        <f aca="false">IF(TRIM(A265)="","",IFERROR(MID((" "&amp;LEFT(SUBSTITUTE(A265,CHAR(13),""),FIND(CHAR(10),SUBSTITUTE(A265,CHAR(13),"")&amp;CHAR(10))-1)),(FIND("~",SUBSTITUTE(LEFT((" "&amp;LEFT(SUBSTITUTE(A265,CHAR(13),""),FIND(CHAR(10),SUBSTITUTE(A265,CHAR(13),"")&amp;CHAR(10))-1)),FIND(".",(" "&amp;LEFT(SUBSTITUTE(A265,CHAR(13),""),FIND(CHAR(10),SUBSTITUTE(A265,CHAR(13),"")&amp;CHAR(10))-1))))," ","~",LEN(LEFT((" "&amp;LEFT(SUBSTITUTE(A265,CHAR(13),""),FIND(CHAR(10),SUBSTITUTE(A265,CHAR(13),"")&amp;CHAR(10))-1)),FIND(".",(" "&amp;LEFT(SUBSTITUTE(A265,CHAR(13),""),FIND(CHAR(10),SUBSTITUTE(A265,CHAR(13),"")&amp;CHAR(10))-1)))))-LEN(SUBSTITUTE(LEFT((" "&amp;LEFT(SUBSTITUTE(A265,CHAR(13),""),FIND(CHAR(10),SUBSTITUTE(A265,CHAR(13),"")&amp;CHAR(10))-1)),FIND(".",(" "&amp;LEFT(SUBSTITUTE(A265,CHAR(13),""),FIND(CHAR(10),SUBSTITUTE(A265,CHAR(13),"")&amp;CHAR(10))-1))))," ",""))))+1),FIND(" ",(" "&amp;LEFT(SUBSTITUTE(A265,CHAR(13),""),FIND(CHAR(10),SUBSTITUTE(A265,CHAR(13),"")&amp;CHAR(10))-1))&amp;" ",FIND(".",(" "&amp;LEFT(SUBSTITUTE(A265,CHAR(13),""),FIND(CHAR(10),SUBSTITUTE(A265,CHAR(13),"")&amp;CHAR(10))-1))))-(FIND("~",SUBSTITUTE(LEFT((" "&amp;LEFT(SUBSTITUTE(A265,CHAR(13),""),FIND(CHAR(10),SUBSTITUTE(A265,CHAR(13),"")&amp;CHAR(10))-1)),FIND(".",(" "&amp;LEFT(SUBSTITUTE(A265,CHAR(13),""),FIND(CHAR(10),SUBSTITUTE(A265,CHAR(13),"")&amp;CHAR(10))-1))))," ","~",LEN(LEFT((" "&amp;LEFT(SUBSTITUTE(A265,CHAR(13),""),FIND(CHAR(10),SUBSTITUTE(A265,CHAR(13),"")&amp;CHAR(10))-1)),FIND(".",(" "&amp;LEFT(SUBSTITUTE(A265,CHAR(13),""),FIND(CHAR(10),SUBSTITUTE(A265,CHAR(13),"")&amp;CHAR(10))-1)))))-LEN(SUBSTITUTE(LEFT((" "&amp;LEFT(SUBSTITUTE(A265,CHAR(13),""),FIND(CHAR(10),SUBSTITUTE(A265,CHAR(13),"")&amp;CHAR(10))-1)),FIND(".",(" "&amp;LEFT(SUBSTITUTE(A265,CHAR(13),""),FIND(CHAR(10),SUBSTITUTE(A265,CHAR(13),"")&amp;CHAR(10))-1))))," ",""))))+1)),""))</f>
        <v/>
      </c>
    </row>
    <row r="266" customFormat="false" ht="30" hidden="false" customHeight="true" outlineLevel="0" collapsed="false">
      <c r="A266" s="11" t="str">
        <f aca="false">IFERROR(INDEX(Pegar!$A$3:$A$1002,MATCH(262,Pegar!$B$3:$B$1002,0))&amp;IF(LEFT(INDEX(Pegar!$A$3:$A$1003,MATCH(262,Pegar!$B$3:$B$1002,0)+1),5)="DESC=",CHAR(10)&amp;INDEX(Pegar!$A$3:$A$1003,MATCH(262,Pegar!$B$3:$B$1002,0)+1),""),"")</f>
        <v/>
      </c>
      <c r="B266" s="12" t="str">
        <f aca="false">IF(TRIM(A266)="","",IFERROR(MID(SUBSTITUTE(SUBSTITUTE(A266,CHAR(10)," "),CHAR(13)," "),FIND(" MT"," "&amp;SUBSTITUTE(SUBSTITUTE(A266,CHAR(10)," "),CHAR(13)," ")),FIND(" ",SUBSTITUTE(SUBSTITUTE(A266,CHAR(10)," "),CHAR(13)," ")&amp;" ",FIND(" MT"," "&amp;SUBSTITUTE(SUBSTITUTE(A266,CHAR(10)," "),CHAR(13)," ")))-FIND(" MT"," "&amp;SUBSTITUTE(SUBSTITUTE(A266,CHAR(10)," "),CHAR(13)," "))),"MT no encontrado"))</f>
        <v/>
      </c>
      <c r="C266" s="15" t="str">
        <f aca="false">IF(TRIM(A266)="","",IF(D266="",FALSE(),SUBSTITUTE(SUBSTITUTE(SUBSTITUTE(D266,".",""),"0",""),"-","")&lt;&gt;""))</f>
        <v/>
      </c>
      <c r="D266" s="14" t="str">
        <f aca="false">IF(TRIM(A266)="","",IFERROR(MID((" "&amp;LEFT(SUBSTITUTE(A266,CHAR(13),""),FIND(CHAR(10),SUBSTITUTE(A266,CHAR(13),"")&amp;CHAR(10))-1)),(FIND("~",SUBSTITUTE(LEFT((" "&amp;LEFT(SUBSTITUTE(A266,CHAR(13),""),FIND(CHAR(10),SUBSTITUTE(A266,CHAR(13),"")&amp;CHAR(10))-1)),FIND(".",(" "&amp;LEFT(SUBSTITUTE(A266,CHAR(13),""),FIND(CHAR(10),SUBSTITUTE(A266,CHAR(13),"")&amp;CHAR(10))-1))))," ","~",LEN(LEFT((" "&amp;LEFT(SUBSTITUTE(A266,CHAR(13),""),FIND(CHAR(10),SUBSTITUTE(A266,CHAR(13),"")&amp;CHAR(10))-1)),FIND(".",(" "&amp;LEFT(SUBSTITUTE(A266,CHAR(13),""),FIND(CHAR(10),SUBSTITUTE(A266,CHAR(13),"")&amp;CHAR(10))-1)))))-LEN(SUBSTITUTE(LEFT((" "&amp;LEFT(SUBSTITUTE(A266,CHAR(13),""),FIND(CHAR(10),SUBSTITUTE(A266,CHAR(13),"")&amp;CHAR(10))-1)),FIND(".",(" "&amp;LEFT(SUBSTITUTE(A266,CHAR(13),""),FIND(CHAR(10),SUBSTITUTE(A266,CHAR(13),"")&amp;CHAR(10))-1))))," ",""))))+1),FIND(" ",(" "&amp;LEFT(SUBSTITUTE(A266,CHAR(13),""),FIND(CHAR(10),SUBSTITUTE(A266,CHAR(13),"")&amp;CHAR(10))-1))&amp;" ",FIND(".",(" "&amp;LEFT(SUBSTITUTE(A266,CHAR(13),""),FIND(CHAR(10),SUBSTITUTE(A266,CHAR(13),"")&amp;CHAR(10))-1))))-(FIND("~",SUBSTITUTE(LEFT((" "&amp;LEFT(SUBSTITUTE(A266,CHAR(13),""),FIND(CHAR(10),SUBSTITUTE(A266,CHAR(13),"")&amp;CHAR(10))-1)),FIND(".",(" "&amp;LEFT(SUBSTITUTE(A266,CHAR(13),""),FIND(CHAR(10),SUBSTITUTE(A266,CHAR(13),"")&amp;CHAR(10))-1))))," ","~",LEN(LEFT((" "&amp;LEFT(SUBSTITUTE(A266,CHAR(13),""),FIND(CHAR(10),SUBSTITUTE(A266,CHAR(13),"")&amp;CHAR(10))-1)),FIND(".",(" "&amp;LEFT(SUBSTITUTE(A266,CHAR(13),""),FIND(CHAR(10),SUBSTITUTE(A266,CHAR(13),"")&amp;CHAR(10))-1)))))-LEN(SUBSTITUTE(LEFT((" "&amp;LEFT(SUBSTITUTE(A266,CHAR(13),""),FIND(CHAR(10),SUBSTITUTE(A266,CHAR(13),"")&amp;CHAR(10))-1)),FIND(".",(" "&amp;LEFT(SUBSTITUTE(A266,CHAR(13),""),FIND(CHAR(10),SUBSTITUTE(A266,CHAR(13),"")&amp;CHAR(10))-1))))," ",""))))+1)),""))</f>
        <v/>
      </c>
    </row>
    <row r="267" customFormat="false" ht="30" hidden="false" customHeight="true" outlineLevel="0" collapsed="false">
      <c r="A267" s="11" t="str">
        <f aca="false">IFERROR(INDEX(Pegar!$A$3:$A$1002,MATCH(263,Pegar!$B$3:$B$1002,0))&amp;IF(LEFT(INDEX(Pegar!$A$3:$A$1003,MATCH(263,Pegar!$B$3:$B$1002,0)+1),5)="DESC=",CHAR(10)&amp;INDEX(Pegar!$A$3:$A$1003,MATCH(263,Pegar!$B$3:$B$1002,0)+1),""),"")</f>
        <v/>
      </c>
      <c r="B267" s="12" t="str">
        <f aca="false">IF(TRIM(A267)="","",IFERROR(MID(SUBSTITUTE(SUBSTITUTE(A267,CHAR(10)," "),CHAR(13)," "),FIND(" MT"," "&amp;SUBSTITUTE(SUBSTITUTE(A267,CHAR(10)," "),CHAR(13)," ")),FIND(" ",SUBSTITUTE(SUBSTITUTE(A267,CHAR(10)," "),CHAR(13)," ")&amp;" ",FIND(" MT"," "&amp;SUBSTITUTE(SUBSTITUTE(A267,CHAR(10)," "),CHAR(13)," ")))-FIND(" MT"," "&amp;SUBSTITUTE(SUBSTITUTE(A267,CHAR(10)," "),CHAR(13)," "))),"MT no encontrado"))</f>
        <v/>
      </c>
      <c r="C267" s="15" t="str">
        <f aca="false">IF(TRIM(A267)="","",IF(D267="",FALSE(),SUBSTITUTE(SUBSTITUTE(SUBSTITUTE(D267,".",""),"0",""),"-","")&lt;&gt;""))</f>
        <v/>
      </c>
      <c r="D267" s="14" t="str">
        <f aca="false">IF(TRIM(A267)="","",IFERROR(MID((" "&amp;LEFT(SUBSTITUTE(A267,CHAR(13),""),FIND(CHAR(10),SUBSTITUTE(A267,CHAR(13),"")&amp;CHAR(10))-1)),(FIND("~",SUBSTITUTE(LEFT((" "&amp;LEFT(SUBSTITUTE(A267,CHAR(13),""),FIND(CHAR(10),SUBSTITUTE(A267,CHAR(13),"")&amp;CHAR(10))-1)),FIND(".",(" "&amp;LEFT(SUBSTITUTE(A267,CHAR(13),""),FIND(CHAR(10),SUBSTITUTE(A267,CHAR(13),"")&amp;CHAR(10))-1))))," ","~",LEN(LEFT((" "&amp;LEFT(SUBSTITUTE(A267,CHAR(13),""),FIND(CHAR(10),SUBSTITUTE(A267,CHAR(13),"")&amp;CHAR(10))-1)),FIND(".",(" "&amp;LEFT(SUBSTITUTE(A267,CHAR(13),""),FIND(CHAR(10),SUBSTITUTE(A267,CHAR(13),"")&amp;CHAR(10))-1)))))-LEN(SUBSTITUTE(LEFT((" "&amp;LEFT(SUBSTITUTE(A267,CHAR(13),""),FIND(CHAR(10),SUBSTITUTE(A267,CHAR(13),"")&amp;CHAR(10))-1)),FIND(".",(" "&amp;LEFT(SUBSTITUTE(A267,CHAR(13),""),FIND(CHAR(10),SUBSTITUTE(A267,CHAR(13),"")&amp;CHAR(10))-1))))," ",""))))+1),FIND(" ",(" "&amp;LEFT(SUBSTITUTE(A267,CHAR(13),""),FIND(CHAR(10),SUBSTITUTE(A267,CHAR(13),"")&amp;CHAR(10))-1))&amp;" ",FIND(".",(" "&amp;LEFT(SUBSTITUTE(A267,CHAR(13),""),FIND(CHAR(10),SUBSTITUTE(A267,CHAR(13),"")&amp;CHAR(10))-1))))-(FIND("~",SUBSTITUTE(LEFT((" "&amp;LEFT(SUBSTITUTE(A267,CHAR(13),""),FIND(CHAR(10),SUBSTITUTE(A267,CHAR(13),"")&amp;CHAR(10))-1)),FIND(".",(" "&amp;LEFT(SUBSTITUTE(A267,CHAR(13),""),FIND(CHAR(10),SUBSTITUTE(A267,CHAR(13),"")&amp;CHAR(10))-1))))," ","~",LEN(LEFT((" "&amp;LEFT(SUBSTITUTE(A267,CHAR(13),""),FIND(CHAR(10),SUBSTITUTE(A267,CHAR(13),"")&amp;CHAR(10))-1)),FIND(".",(" "&amp;LEFT(SUBSTITUTE(A267,CHAR(13),""),FIND(CHAR(10),SUBSTITUTE(A267,CHAR(13),"")&amp;CHAR(10))-1)))))-LEN(SUBSTITUTE(LEFT((" "&amp;LEFT(SUBSTITUTE(A267,CHAR(13),""),FIND(CHAR(10),SUBSTITUTE(A267,CHAR(13),"")&amp;CHAR(10))-1)),FIND(".",(" "&amp;LEFT(SUBSTITUTE(A267,CHAR(13),""),FIND(CHAR(10),SUBSTITUTE(A267,CHAR(13),"")&amp;CHAR(10))-1))))," ",""))))+1)),""))</f>
        <v/>
      </c>
    </row>
    <row r="268" customFormat="false" ht="30" hidden="false" customHeight="true" outlineLevel="0" collapsed="false">
      <c r="A268" s="11" t="str">
        <f aca="false">IFERROR(INDEX(Pegar!$A$3:$A$1002,MATCH(264,Pegar!$B$3:$B$1002,0))&amp;IF(LEFT(INDEX(Pegar!$A$3:$A$1003,MATCH(264,Pegar!$B$3:$B$1002,0)+1),5)="DESC=",CHAR(10)&amp;INDEX(Pegar!$A$3:$A$1003,MATCH(264,Pegar!$B$3:$B$1002,0)+1),""),"")</f>
        <v/>
      </c>
      <c r="B268" s="12" t="str">
        <f aca="false">IF(TRIM(A268)="","",IFERROR(MID(SUBSTITUTE(SUBSTITUTE(A268,CHAR(10)," "),CHAR(13)," "),FIND(" MT"," "&amp;SUBSTITUTE(SUBSTITUTE(A268,CHAR(10)," "),CHAR(13)," ")),FIND(" ",SUBSTITUTE(SUBSTITUTE(A268,CHAR(10)," "),CHAR(13)," ")&amp;" ",FIND(" MT"," "&amp;SUBSTITUTE(SUBSTITUTE(A268,CHAR(10)," "),CHAR(13)," ")))-FIND(" MT"," "&amp;SUBSTITUTE(SUBSTITUTE(A268,CHAR(10)," "),CHAR(13)," "))),"MT no encontrado"))</f>
        <v/>
      </c>
      <c r="C268" s="15" t="str">
        <f aca="false">IF(TRIM(A268)="","",IF(D268="",FALSE(),SUBSTITUTE(SUBSTITUTE(SUBSTITUTE(D268,".",""),"0",""),"-","")&lt;&gt;""))</f>
        <v/>
      </c>
      <c r="D268" s="14" t="str">
        <f aca="false">IF(TRIM(A268)="","",IFERROR(MID((" "&amp;LEFT(SUBSTITUTE(A268,CHAR(13),""),FIND(CHAR(10),SUBSTITUTE(A268,CHAR(13),"")&amp;CHAR(10))-1)),(FIND("~",SUBSTITUTE(LEFT((" "&amp;LEFT(SUBSTITUTE(A268,CHAR(13),""),FIND(CHAR(10),SUBSTITUTE(A268,CHAR(13),"")&amp;CHAR(10))-1)),FIND(".",(" "&amp;LEFT(SUBSTITUTE(A268,CHAR(13),""),FIND(CHAR(10),SUBSTITUTE(A268,CHAR(13),"")&amp;CHAR(10))-1))))," ","~",LEN(LEFT((" "&amp;LEFT(SUBSTITUTE(A268,CHAR(13),""),FIND(CHAR(10),SUBSTITUTE(A268,CHAR(13),"")&amp;CHAR(10))-1)),FIND(".",(" "&amp;LEFT(SUBSTITUTE(A268,CHAR(13),""),FIND(CHAR(10),SUBSTITUTE(A268,CHAR(13),"")&amp;CHAR(10))-1)))))-LEN(SUBSTITUTE(LEFT((" "&amp;LEFT(SUBSTITUTE(A268,CHAR(13),""),FIND(CHAR(10),SUBSTITUTE(A268,CHAR(13),"")&amp;CHAR(10))-1)),FIND(".",(" "&amp;LEFT(SUBSTITUTE(A268,CHAR(13),""),FIND(CHAR(10),SUBSTITUTE(A268,CHAR(13),"")&amp;CHAR(10))-1))))," ",""))))+1),FIND(" ",(" "&amp;LEFT(SUBSTITUTE(A268,CHAR(13),""),FIND(CHAR(10),SUBSTITUTE(A268,CHAR(13),"")&amp;CHAR(10))-1))&amp;" ",FIND(".",(" "&amp;LEFT(SUBSTITUTE(A268,CHAR(13),""),FIND(CHAR(10),SUBSTITUTE(A268,CHAR(13),"")&amp;CHAR(10))-1))))-(FIND("~",SUBSTITUTE(LEFT((" "&amp;LEFT(SUBSTITUTE(A268,CHAR(13),""),FIND(CHAR(10),SUBSTITUTE(A268,CHAR(13),"")&amp;CHAR(10))-1)),FIND(".",(" "&amp;LEFT(SUBSTITUTE(A268,CHAR(13),""),FIND(CHAR(10),SUBSTITUTE(A268,CHAR(13),"")&amp;CHAR(10))-1))))," ","~",LEN(LEFT((" "&amp;LEFT(SUBSTITUTE(A268,CHAR(13),""),FIND(CHAR(10),SUBSTITUTE(A268,CHAR(13),"")&amp;CHAR(10))-1)),FIND(".",(" "&amp;LEFT(SUBSTITUTE(A268,CHAR(13),""),FIND(CHAR(10),SUBSTITUTE(A268,CHAR(13),"")&amp;CHAR(10))-1)))))-LEN(SUBSTITUTE(LEFT((" "&amp;LEFT(SUBSTITUTE(A268,CHAR(13),""),FIND(CHAR(10),SUBSTITUTE(A268,CHAR(13),"")&amp;CHAR(10))-1)),FIND(".",(" "&amp;LEFT(SUBSTITUTE(A268,CHAR(13),""),FIND(CHAR(10),SUBSTITUTE(A268,CHAR(13),"")&amp;CHAR(10))-1))))," ",""))))+1)),""))</f>
        <v/>
      </c>
    </row>
    <row r="269" customFormat="false" ht="30" hidden="false" customHeight="true" outlineLevel="0" collapsed="false">
      <c r="A269" s="11" t="str">
        <f aca="false">IFERROR(INDEX(Pegar!$A$3:$A$1002,MATCH(265,Pegar!$B$3:$B$1002,0))&amp;IF(LEFT(INDEX(Pegar!$A$3:$A$1003,MATCH(265,Pegar!$B$3:$B$1002,0)+1),5)="DESC=",CHAR(10)&amp;INDEX(Pegar!$A$3:$A$1003,MATCH(265,Pegar!$B$3:$B$1002,0)+1),""),"")</f>
        <v/>
      </c>
      <c r="B269" s="12" t="str">
        <f aca="false">IF(TRIM(A269)="","",IFERROR(MID(SUBSTITUTE(SUBSTITUTE(A269,CHAR(10)," "),CHAR(13)," "),FIND(" MT"," "&amp;SUBSTITUTE(SUBSTITUTE(A269,CHAR(10)," "),CHAR(13)," ")),FIND(" ",SUBSTITUTE(SUBSTITUTE(A269,CHAR(10)," "),CHAR(13)," ")&amp;" ",FIND(" MT"," "&amp;SUBSTITUTE(SUBSTITUTE(A269,CHAR(10)," "),CHAR(13)," ")))-FIND(" MT"," "&amp;SUBSTITUTE(SUBSTITUTE(A269,CHAR(10)," "),CHAR(13)," "))),"MT no encontrado"))</f>
        <v/>
      </c>
      <c r="C269" s="15" t="str">
        <f aca="false">IF(TRIM(A269)="","",IF(D269="",FALSE(),SUBSTITUTE(SUBSTITUTE(SUBSTITUTE(D269,".",""),"0",""),"-","")&lt;&gt;""))</f>
        <v/>
      </c>
      <c r="D269" s="14" t="str">
        <f aca="false">IF(TRIM(A269)="","",IFERROR(MID((" "&amp;LEFT(SUBSTITUTE(A269,CHAR(13),""),FIND(CHAR(10),SUBSTITUTE(A269,CHAR(13),"")&amp;CHAR(10))-1)),(FIND("~",SUBSTITUTE(LEFT((" "&amp;LEFT(SUBSTITUTE(A269,CHAR(13),""),FIND(CHAR(10),SUBSTITUTE(A269,CHAR(13),"")&amp;CHAR(10))-1)),FIND(".",(" "&amp;LEFT(SUBSTITUTE(A269,CHAR(13),""),FIND(CHAR(10),SUBSTITUTE(A269,CHAR(13),"")&amp;CHAR(10))-1))))," ","~",LEN(LEFT((" "&amp;LEFT(SUBSTITUTE(A269,CHAR(13),""),FIND(CHAR(10),SUBSTITUTE(A269,CHAR(13),"")&amp;CHAR(10))-1)),FIND(".",(" "&amp;LEFT(SUBSTITUTE(A269,CHAR(13),""),FIND(CHAR(10),SUBSTITUTE(A269,CHAR(13),"")&amp;CHAR(10))-1)))))-LEN(SUBSTITUTE(LEFT((" "&amp;LEFT(SUBSTITUTE(A269,CHAR(13),""),FIND(CHAR(10),SUBSTITUTE(A269,CHAR(13),"")&amp;CHAR(10))-1)),FIND(".",(" "&amp;LEFT(SUBSTITUTE(A269,CHAR(13),""),FIND(CHAR(10),SUBSTITUTE(A269,CHAR(13),"")&amp;CHAR(10))-1))))," ",""))))+1),FIND(" ",(" "&amp;LEFT(SUBSTITUTE(A269,CHAR(13),""),FIND(CHAR(10),SUBSTITUTE(A269,CHAR(13),"")&amp;CHAR(10))-1))&amp;" ",FIND(".",(" "&amp;LEFT(SUBSTITUTE(A269,CHAR(13),""),FIND(CHAR(10),SUBSTITUTE(A269,CHAR(13),"")&amp;CHAR(10))-1))))-(FIND("~",SUBSTITUTE(LEFT((" "&amp;LEFT(SUBSTITUTE(A269,CHAR(13),""),FIND(CHAR(10),SUBSTITUTE(A269,CHAR(13),"")&amp;CHAR(10))-1)),FIND(".",(" "&amp;LEFT(SUBSTITUTE(A269,CHAR(13),""),FIND(CHAR(10),SUBSTITUTE(A269,CHAR(13),"")&amp;CHAR(10))-1))))," ","~",LEN(LEFT((" "&amp;LEFT(SUBSTITUTE(A269,CHAR(13),""),FIND(CHAR(10),SUBSTITUTE(A269,CHAR(13),"")&amp;CHAR(10))-1)),FIND(".",(" "&amp;LEFT(SUBSTITUTE(A269,CHAR(13),""),FIND(CHAR(10),SUBSTITUTE(A269,CHAR(13),"")&amp;CHAR(10))-1)))))-LEN(SUBSTITUTE(LEFT((" "&amp;LEFT(SUBSTITUTE(A269,CHAR(13),""),FIND(CHAR(10),SUBSTITUTE(A269,CHAR(13),"")&amp;CHAR(10))-1)),FIND(".",(" "&amp;LEFT(SUBSTITUTE(A269,CHAR(13),""),FIND(CHAR(10),SUBSTITUTE(A269,CHAR(13),"")&amp;CHAR(10))-1))))," ",""))))+1)),""))</f>
        <v/>
      </c>
    </row>
    <row r="270" customFormat="false" ht="30" hidden="false" customHeight="true" outlineLevel="0" collapsed="false">
      <c r="A270" s="11" t="str">
        <f aca="false">IFERROR(INDEX(Pegar!$A$3:$A$1002,MATCH(266,Pegar!$B$3:$B$1002,0))&amp;IF(LEFT(INDEX(Pegar!$A$3:$A$1003,MATCH(266,Pegar!$B$3:$B$1002,0)+1),5)="DESC=",CHAR(10)&amp;INDEX(Pegar!$A$3:$A$1003,MATCH(266,Pegar!$B$3:$B$1002,0)+1),""),"")</f>
        <v/>
      </c>
      <c r="B270" s="12" t="str">
        <f aca="false">IF(TRIM(A270)="","",IFERROR(MID(SUBSTITUTE(SUBSTITUTE(A270,CHAR(10)," "),CHAR(13)," "),FIND(" MT"," "&amp;SUBSTITUTE(SUBSTITUTE(A270,CHAR(10)," "),CHAR(13)," ")),FIND(" ",SUBSTITUTE(SUBSTITUTE(A270,CHAR(10)," "),CHAR(13)," ")&amp;" ",FIND(" MT"," "&amp;SUBSTITUTE(SUBSTITUTE(A270,CHAR(10)," "),CHAR(13)," ")))-FIND(" MT"," "&amp;SUBSTITUTE(SUBSTITUTE(A270,CHAR(10)," "),CHAR(13)," "))),"MT no encontrado"))</f>
        <v/>
      </c>
      <c r="C270" s="15" t="str">
        <f aca="false">IF(TRIM(A270)="","",IF(D270="",FALSE(),SUBSTITUTE(SUBSTITUTE(SUBSTITUTE(D270,".",""),"0",""),"-","")&lt;&gt;""))</f>
        <v/>
      </c>
      <c r="D270" s="14" t="str">
        <f aca="false">IF(TRIM(A270)="","",IFERROR(MID((" "&amp;LEFT(SUBSTITUTE(A270,CHAR(13),""),FIND(CHAR(10),SUBSTITUTE(A270,CHAR(13),"")&amp;CHAR(10))-1)),(FIND("~",SUBSTITUTE(LEFT((" "&amp;LEFT(SUBSTITUTE(A270,CHAR(13),""),FIND(CHAR(10),SUBSTITUTE(A270,CHAR(13),"")&amp;CHAR(10))-1)),FIND(".",(" "&amp;LEFT(SUBSTITUTE(A270,CHAR(13),""),FIND(CHAR(10),SUBSTITUTE(A270,CHAR(13),"")&amp;CHAR(10))-1))))," ","~",LEN(LEFT((" "&amp;LEFT(SUBSTITUTE(A270,CHAR(13),""),FIND(CHAR(10),SUBSTITUTE(A270,CHAR(13),"")&amp;CHAR(10))-1)),FIND(".",(" "&amp;LEFT(SUBSTITUTE(A270,CHAR(13),""),FIND(CHAR(10),SUBSTITUTE(A270,CHAR(13),"")&amp;CHAR(10))-1)))))-LEN(SUBSTITUTE(LEFT((" "&amp;LEFT(SUBSTITUTE(A270,CHAR(13),""),FIND(CHAR(10),SUBSTITUTE(A270,CHAR(13),"")&amp;CHAR(10))-1)),FIND(".",(" "&amp;LEFT(SUBSTITUTE(A270,CHAR(13),""),FIND(CHAR(10),SUBSTITUTE(A270,CHAR(13),"")&amp;CHAR(10))-1))))," ",""))))+1),FIND(" ",(" "&amp;LEFT(SUBSTITUTE(A270,CHAR(13),""),FIND(CHAR(10),SUBSTITUTE(A270,CHAR(13),"")&amp;CHAR(10))-1))&amp;" ",FIND(".",(" "&amp;LEFT(SUBSTITUTE(A270,CHAR(13),""),FIND(CHAR(10),SUBSTITUTE(A270,CHAR(13),"")&amp;CHAR(10))-1))))-(FIND("~",SUBSTITUTE(LEFT((" "&amp;LEFT(SUBSTITUTE(A270,CHAR(13),""),FIND(CHAR(10),SUBSTITUTE(A270,CHAR(13),"")&amp;CHAR(10))-1)),FIND(".",(" "&amp;LEFT(SUBSTITUTE(A270,CHAR(13),""),FIND(CHAR(10),SUBSTITUTE(A270,CHAR(13),"")&amp;CHAR(10))-1))))," ","~",LEN(LEFT((" "&amp;LEFT(SUBSTITUTE(A270,CHAR(13),""),FIND(CHAR(10),SUBSTITUTE(A270,CHAR(13),"")&amp;CHAR(10))-1)),FIND(".",(" "&amp;LEFT(SUBSTITUTE(A270,CHAR(13),""),FIND(CHAR(10),SUBSTITUTE(A270,CHAR(13),"")&amp;CHAR(10))-1)))))-LEN(SUBSTITUTE(LEFT((" "&amp;LEFT(SUBSTITUTE(A270,CHAR(13),""),FIND(CHAR(10),SUBSTITUTE(A270,CHAR(13),"")&amp;CHAR(10))-1)),FIND(".",(" "&amp;LEFT(SUBSTITUTE(A270,CHAR(13),""),FIND(CHAR(10),SUBSTITUTE(A270,CHAR(13),"")&amp;CHAR(10))-1))))," ",""))))+1)),""))</f>
        <v/>
      </c>
    </row>
    <row r="271" customFormat="false" ht="30" hidden="false" customHeight="true" outlineLevel="0" collapsed="false">
      <c r="A271" s="11" t="str">
        <f aca="false">IFERROR(INDEX(Pegar!$A$3:$A$1002,MATCH(267,Pegar!$B$3:$B$1002,0))&amp;IF(LEFT(INDEX(Pegar!$A$3:$A$1003,MATCH(267,Pegar!$B$3:$B$1002,0)+1),5)="DESC=",CHAR(10)&amp;INDEX(Pegar!$A$3:$A$1003,MATCH(267,Pegar!$B$3:$B$1002,0)+1),""),"")</f>
        <v/>
      </c>
      <c r="B271" s="12" t="str">
        <f aca="false">IF(TRIM(A271)="","",IFERROR(MID(SUBSTITUTE(SUBSTITUTE(A271,CHAR(10)," "),CHAR(13)," "),FIND(" MT"," "&amp;SUBSTITUTE(SUBSTITUTE(A271,CHAR(10)," "),CHAR(13)," ")),FIND(" ",SUBSTITUTE(SUBSTITUTE(A271,CHAR(10)," "),CHAR(13)," ")&amp;" ",FIND(" MT"," "&amp;SUBSTITUTE(SUBSTITUTE(A271,CHAR(10)," "),CHAR(13)," ")))-FIND(" MT"," "&amp;SUBSTITUTE(SUBSTITUTE(A271,CHAR(10)," "),CHAR(13)," "))),"MT no encontrado"))</f>
        <v/>
      </c>
      <c r="C271" s="15" t="str">
        <f aca="false">IF(TRIM(A271)="","",IF(D271="",FALSE(),SUBSTITUTE(SUBSTITUTE(SUBSTITUTE(D271,".",""),"0",""),"-","")&lt;&gt;""))</f>
        <v/>
      </c>
      <c r="D271" s="14" t="str">
        <f aca="false">IF(TRIM(A271)="","",IFERROR(MID((" "&amp;LEFT(SUBSTITUTE(A271,CHAR(13),""),FIND(CHAR(10),SUBSTITUTE(A271,CHAR(13),"")&amp;CHAR(10))-1)),(FIND("~",SUBSTITUTE(LEFT((" "&amp;LEFT(SUBSTITUTE(A271,CHAR(13),""),FIND(CHAR(10),SUBSTITUTE(A271,CHAR(13),"")&amp;CHAR(10))-1)),FIND(".",(" "&amp;LEFT(SUBSTITUTE(A271,CHAR(13),""),FIND(CHAR(10),SUBSTITUTE(A271,CHAR(13),"")&amp;CHAR(10))-1))))," ","~",LEN(LEFT((" "&amp;LEFT(SUBSTITUTE(A271,CHAR(13),""),FIND(CHAR(10),SUBSTITUTE(A271,CHAR(13),"")&amp;CHAR(10))-1)),FIND(".",(" "&amp;LEFT(SUBSTITUTE(A271,CHAR(13),""),FIND(CHAR(10),SUBSTITUTE(A271,CHAR(13),"")&amp;CHAR(10))-1)))))-LEN(SUBSTITUTE(LEFT((" "&amp;LEFT(SUBSTITUTE(A271,CHAR(13),""),FIND(CHAR(10),SUBSTITUTE(A271,CHAR(13),"")&amp;CHAR(10))-1)),FIND(".",(" "&amp;LEFT(SUBSTITUTE(A271,CHAR(13),""),FIND(CHAR(10),SUBSTITUTE(A271,CHAR(13),"")&amp;CHAR(10))-1))))," ",""))))+1),FIND(" ",(" "&amp;LEFT(SUBSTITUTE(A271,CHAR(13),""),FIND(CHAR(10),SUBSTITUTE(A271,CHAR(13),"")&amp;CHAR(10))-1))&amp;" ",FIND(".",(" "&amp;LEFT(SUBSTITUTE(A271,CHAR(13),""),FIND(CHAR(10),SUBSTITUTE(A271,CHAR(13),"")&amp;CHAR(10))-1))))-(FIND("~",SUBSTITUTE(LEFT((" "&amp;LEFT(SUBSTITUTE(A271,CHAR(13),""),FIND(CHAR(10),SUBSTITUTE(A271,CHAR(13),"")&amp;CHAR(10))-1)),FIND(".",(" "&amp;LEFT(SUBSTITUTE(A271,CHAR(13),""),FIND(CHAR(10),SUBSTITUTE(A271,CHAR(13),"")&amp;CHAR(10))-1))))," ","~",LEN(LEFT((" "&amp;LEFT(SUBSTITUTE(A271,CHAR(13),""),FIND(CHAR(10),SUBSTITUTE(A271,CHAR(13),"")&amp;CHAR(10))-1)),FIND(".",(" "&amp;LEFT(SUBSTITUTE(A271,CHAR(13),""),FIND(CHAR(10),SUBSTITUTE(A271,CHAR(13),"")&amp;CHAR(10))-1)))))-LEN(SUBSTITUTE(LEFT((" "&amp;LEFT(SUBSTITUTE(A271,CHAR(13),""),FIND(CHAR(10),SUBSTITUTE(A271,CHAR(13),"")&amp;CHAR(10))-1)),FIND(".",(" "&amp;LEFT(SUBSTITUTE(A271,CHAR(13),""),FIND(CHAR(10),SUBSTITUTE(A271,CHAR(13),"")&amp;CHAR(10))-1))))," ",""))))+1)),""))</f>
        <v/>
      </c>
    </row>
    <row r="272" customFormat="false" ht="30" hidden="false" customHeight="true" outlineLevel="0" collapsed="false">
      <c r="A272" s="11" t="str">
        <f aca="false">IFERROR(INDEX(Pegar!$A$3:$A$1002,MATCH(268,Pegar!$B$3:$B$1002,0))&amp;IF(LEFT(INDEX(Pegar!$A$3:$A$1003,MATCH(268,Pegar!$B$3:$B$1002,0)+1),5)="DESC=",CHAR(10)&amp;INDEX(Pegar!$A$3:$A$1003,MATCH(268,Pegar!$B$3:$B$1002,0)+1),""),"")</f>
        <v/>
      </c>
      <c r="B272" s="12" t="str">
        <f aca="false">IF(TRIM(A272)="","",IFERROR(MID(SUBSTITUTE(SUBSTITUTE(A272,CHAR(10)," "),CHAR(13)," "),FIND(" MT"," "&amp;SUBSTITUTE(SUBSTITUTE(A272,CHAR(10)," "),CHAR(13)," ")),FIND(" ",SUBSTITUTE(SUBSTITUTE(A272,CHAR(10)," "),CHAR(13)," ")&amp;" ",FIND(" MT"," "&amp;SUBSTITUTE(SUBSTITUTE(A272,CHAR(10)," "),CHAR(13)," ")))-FIND(" MT"," "&amp;SUBSTITUTE(SUBSTITUTE(A272,CHAR(10)," "),CHAR(13)," "))),"MT no encontrado"))</f>
        <v/>
      </c>
      <c r="C272" s="15" t="str">
        <f aca="false">IF(TRIM(A272)="","",IF(D272="",FALSE(),SUBSTITUTE(SUBSTITUTE(SUBSTITUTE(D272,".",""),"0",""),"-","")&lt;&gt;""))</f>
        <v/>
      </c>
      <c r="D272" s="14" t="str">
        <f aca="false">IF(TRIM(A272)="","",IFERROR(MID((" "&amp;LEFT(SUBSTITUTE(A272,CHAR(13),""),FIND(CHAR(10),SUBSTITUTE(A272,CHAR(13),"")&amp;CHAR(10))-1)),(FIND("~",SUBSTITUTE(LEFT((" "&amp;LEFT(SUBSTITUTE(A272,CHAR(13),""),FIND(CHAR(10),SUBSTITUTE(A272,CHAR(13),"")&amp;CHAR(10))-1)),FIND(".",(" "&amp;LEFT(SUBSTITUTE(A272,CHAR(13),""),FIND(CHAR(10),SUBSTITUTE(A272,CHAR(13),"")&amp;CHAR(10))-1))))," ","~",LEN(LEFT((" "&amp;LEFT(SUBSTITUTE(A272,CHAR(13),""),FIND(CHAR(10),SUBSTITUTE(A272,CHAR(13),"")&amp;CHAR(10))-1)),FIND(".",(" "&amp;LEFT(SUBSTITUTE(A272,CHAR(13),""),FIND(CHAR(10),SUBSTITUTE(A272,CHAR(13),"")&amp;CHAR(10))-1)))))-LEN(SUBSTITUTE(LEFT((" "&amp;LEFT(SUBSTITUTE(A272,CHAR(13),""),FIND(CHAR(10),SUBSTITUTE(A272,CHAR(13),"")&amp;CHAR(10))-1)),FIND(".",(" "&amp;LEFT(SUBSTITUTE(A272,CHAR(13),""),FIND(CHAR(10),SUBSTITUTE(A272,CHAR(13),"")&amp;CHAR(10))-1))))," ",""))))+1),FIND(" ",(" "&amp;LEFT(SUBSTITUTE(A272,CHAR(13),""),FIND(CHAR(10),SUBSTITUTE(A272,CHAR(13),"")&amp;CHAR(10))-1))&amp;" ",FIND(".",(" "&amp;LEFT(SUBSTITUTE(A272,CHAR(13),""),FIND(CHAR(10),SUBSTITUTE(A272,CHAR(13),"")&amp;CHAR(10))-1))))-(FIND("~",SUBSTITUTE(LEFT((" "&amp;LEFT(SUBSTITUTE(A272,CHAR(13),""),FIND(CHAR(10),SUBSTITUTE(A272,CHAR(13),"")&amp;CHAR(10))-1)),FIND(".",(" "&amp;LEFT(SUBSTITUTE(A272,CHAR(13),""),FIND(CHAR(10),SUBSTITUTE(A272,CHAR(13),"")&amp;CHAR(10))-1))))," ","~",LEN(LEFT((" "&amp;LEFT(SUBSTITUTE(A272,CHAR(13),""),FIND(CHAR(10),SUBSTITUTE(A272,CHAR(13),"")&amp;CHAR(10))-1)),FIND(".",(" "&amp;LEFT(SUBSTITUTE(A272,CHAR(13),""),FIND(CHAR(10),SUBSTITUTE(A272,CHAR(13),"")&amp;CHAR(10))-1)))))-LEN(SUBSTITUTE(LEFT((" "&amp;LEFT(SUBSTITUTE(A272,CHAR(13),""),FIND(CHAR(10),SUBSTITUTE(A272,CHAR(13),"")&amp;CHAR(10))-1)),FIND(".",(" "&amp;LEFT(SUBSTITUTE(A272,CHAR(13),""),FIND(CHAR(10),SUBSTITUTE(A272,CHAR(13),"")&amp;CHAR(10))-1))))," ",""))))+1)),""))</f>
        <v/>
      </c>
    </row>
    <row r="273" customFormat="false" ht="30" hidden="false" customHeight="true" outlineLevel="0" collapsed="false">
      <c r="A273" s="11" t="str">
        <f aca="false">IFERROR(INDEX(Pegar!$A$3:$A$1002,MATCH(269,Pegar!$B$3:$B$1002,0))&amp;IF(LEFT(INDEX(Pegar!$A$3:$A$1003,MATCH(269,Pegar!$B$3:$B$1002,0)+1),5)="DESC=",CHAR(10)&amp;INDEX(Pegar!$A$3:$A$1003,MATCH(269,Pegar!$B$3:$B$1002,0)+1),""),"")</f>
        <v/>
      </c>
      <c r="B273" s="12" t="str">
        <f aca="false">IF(TRIM(A273)="","",IFERROR(MID(SUBSTITUTE(SUBSTITUTE(A273,CHAR(10)," "),CHAR(13)," "),FIND(" MT"," "&amp;SUBSTITUTE(SUBSTITUTE(A273,CHAR(10)," "),CHAR(13)," ")),FIND(" ",SUBSTITUTE(SUBSTITUTE(A273,CHAR(10)," "),CHAR(13)," ")&amp;" ",FIND(" MT"," "&amp;SUBSTITUTE(SUBSTITUTE(A273,CHAR(10)," "),CHAR(13)," ")))-FIND(" MT"," "&amp;SUBSTITUTE(SUBSTITUTE(A273,CHAR(10)," "),CHAR(13)," "))),"MT no encontrado"))</f>
        <v/>
      </c>
      <c r="C273" s="15" t="str">
        <f aca="false">IF(TRIM(A273)="","",IF(D273="",FALSE(),SUBSTITUTE(SUBSTITUTE(SUBSTITUTE(D273,".",""),"0",""),"-","")&lt;&gt;""))</f>
        <v/>
      </c>
      <c r="D273" s="14" t="str">
        <f aca="false">IF(TRIM(A273)="","",IFERROR(MID((" "&amp;LEFT(SUBSTITUTE(A273,CHAR(13),""),FIND(CHAR(10),SUBSTITUTE(A273,CHAR(13),"")&amp;CHAR(10))-1)),(FIND("~",SUBSTITUTE(LEFT((" "&amp;LEFT(SUBSTITUTE(A273,CHAR(13),""),FIND(CHAR(10),SUBSTITUTE(A273,CHAR(13),"")&amp;CHAR(10))-1)),FIND(".",(" "&amp;LEFT(SUBSTITUTE(A273,CHAR(13),""),FIND(CHAR(10),SUBSTITUTE(A273,CHAR(13),"")&amp;CHAR(10))-1))))," ","~",LEN(LEFT((" "&amp;LEFT(SUBSTITUTE(A273,CHAR(13),""),FIND(CHAR(10),SUBSTITUTE(A273,CHAR(13),"")&amp;CHAR(10))-1)),FIND(".",(" "&amp;LEFT(SUBSTITUTE(A273,CHAR(13),""),FIND(CHAR(10),SUBSTITUTE(A273,CHAR(13),"")&amp;CHAR(10))-1)))))-LEN(SUBSTITUTE(LEFT((" "&amp;LEFT(SUBSTITUTE(A273,CHAR(13),""),FIND(CHAR(10),SUBSTITUTE(A273,CHAR(13),"")&amp;CHAR(10))-1)),FIND(".",(" "&amp;LEFT(SUBSTITUTE(A273,CHAR(13),""),FIND(CHAR(10),SUBSTITUTE(A273,CHAR(13),"")&amp;CHAR(10))-1))))," ",""))))+1),FIND(" ",(" "&amp;LEFT(SUBSTITUTE(A273,CHAR(13),""),FIND(CHAR(10),SUBSTITUTE(A273,CHAR(13),"")&amp;CHAR(10))-1))&amp;" ",FIND(".",(" "&amp;LEFT(SUBSTITUTE(A273,CHAR(13),""),FIND(CHAR(10),SUBSTITUTE(A273,CHAR(13),"")&amp;CHAR(10))-1))))-(FIND("~",SUBSTITUTE(LEFT((" "&amp;LEFT(SUBSTITUTE(A273,CHAR(13),""),FIND(CHAR(10),SUBSTITUTE(A273,CHAR(13),"")&amp;CHAR(10))-1)),FIND(".",(" "&amp;LEFT(SUBSTITUTE(A273,CHAR(13),""),FIND(CHAR(10),SUBSTITUTE(A273,CHAR(13),"")&amp;CHAR(10))-1))))," ","~",LEN(LEFT((" "&amp;LEFT(SUBSTITUTE(A273,CHAR(13),""),FIND(CHAR(10),SUBSTITUTE(A273,CHAR(13),"")&amp;CHAR(10))-1)),FIND(".",(" "&amp;LEFT(SUBSTITUTE(A273,CHAR(13),""),FIND(CHAR(10),SUBSTITUTE(A273,CHAR(13),"")&amp;CHAR(10))-1)))))-LEN(SUBSTITUTE(LEFT((" "&amp;LEFT(SUBSTITUTE(A273,CHAR(13),""),FIND(CHAR(10),SUBSTITUTE(A273,CHAR(13),"")&amp;CHAR(10))-1)),FIND(".",(" "&amp;LEFT(SUBSTITUTE(A273,CHAR(13),""),FIND(CHAR(10),SUBSTITUTE(A273,CHAR(13),"")&amp;CHAR(10))-1))))," ",""))))+1)),""))</f>
        <v/>
      </c>
    </row>
    <row r="274" customFormat="false" ht="30" hidden="false" customHeight="true" outlineLevel="0" collapsed="false">
      <c r="A274" s="11" t="str">
        <f aca="false">IFERROR(INDEX(Pegar!$A$3:$A$1002,MATCH(270,Pegar!$B$3:$B$1002,0))&amp;IF(LEFT(INDEX(Pegar!$A$3:$A$1003,MATCH(270,Pegar!$B$3:$B$1002,0)+1),5)="DESC=",CHAR(10)&amp;INDEX(Pegar!$A$3:$A$1003,MATCH(270,Pegar!$B$3:$B$1002,0)+1),""),"")</f>
        <v/>
      </c>
      <c r="B274" s="12" t="str">
        <f aca="false">IF(TRIM(A274)="","",IFERROR(MID(SUBSTITUTE(SUBSTITUTE(A274,CHAR(10)," "),CHAR(13)," "),FIND(" MT"," "&amp;SUBSTITUTE(SUBSTITUTE(A274,CHAR(10)," "),CHAR(13)," ")),FIND(" ",SUBSTITUTE(SUBSTITUTE(A274,CHAR(10)," "),CHAR(13)," ")&amp;" ",FIND(" MT"," "&amp;SUBSTITUTE(SUBSTITUTE(A274,CHAR(10)," "),CHAR(13)," ")))-FIND(" MT"," "&amp;SUBSTITUTE(SUBSTITUTE(A274,CHAR(10)," "),CHAR(13)," "))),"MT no encontrado"))</f>
        <v/>
      </c>
      <c r="C274" s="15" t="str">
        <f aca="false">IF(TRIM(A274)="","",IF(D274="",FALSE(),SUBSTITUTE(SUBSTITUTE(SUBSTITUTE(D274,".",""),"0",""),"-","")&lt;&gt;""))</f>
        <v/>
      </c>
      <c r="D274" s="14" t="str">
        <f aca="false">IF(TRIM(A274)="","",IFERROR(MID((" "&amp;LEFT(SUBSTITUTE(A274,CHAR(13),""),FIND(CHAR(10),SUBSTITUTE(A274,CHAR(13),"")&amp;CHAR(10))-1)),(FIND("~",SUBSTITUTE(LEFT((" "&amp;LEFT(SUBSTITUTE(A274,CHAR(13),""),FIND(CHAR(10),SUBSTITUTE(A274,CHAR(13),"")&amp;CHAR(10))-1)),FIND(".",(" "&amp;LEFT(SUBSTITUTE(A274,CHAR(13),""),FIND(CHAR(10),SUBSTITUTE(A274,CHAR(13),"")&amp;CHAR(10))-1))))," ","~",LEN(LEFT((" "&amp;LEFT(SUBSTITUTE(A274,CHAR(13),""),FIND(CHAR(10),SUBSTITUTE(A274,CHAR(13),"")&amp;CHAR(10))-1)),FIND(".",(" "&amp;LEFT(SUBSTITUTE(A274,CHAR(13),""),FIND(CHAR(10),SUBSTITUTE(A274,CHAR(13),"")&amp;CHAR(10))-1)))))-LEN(SUBSTITUTE(LEFT((" "&amp;LEFT(SUBSTITUTE(A274,CHAR(13),""),FIND(CHAR(10),SUBSTITUTE(A274,CHAR(13),"")&amp;CHAR(10))-1)),FIND(".",(" "&amp;LEFT(SUBSTITUTE(A274,CHAR(13),""),FIND(CHAR(10),SUBSTITUTE(A274,CHAR(13),"")&amp;CHAR(10))-1))))," ",""))))+1),FIND(" ",(" "&amp;LEFT(SUBSTITUTE(A274,CHAR(13),""),FIND(CHAR(10),SUBSTITUTE(A274,CHAR(13),"")&amp;CHAR(10))-1))&amp;" ",FIND(".",(" "&amp;LEFT(SUBSTITUTE(A274,CHAR(13),""),FIND(CHAR(10),SUBSTITUTE(A274,CHAR(13),"")&amp;CHAR(10))-1))))-(FIND("~",SUBSTITUTE(LEFT((" "&amp;LEFT(SUBSTITUTE(A274,CHAR(13),""),FIND(CHAR(10),SUBSTITUTE(A274,CHAR(13),"")&amp;CHAR(10))-1)),FIND(".",(" "&amp;LEFT(SUBSTITUTE(A274,CHAR(13),""),FIND(CHAR(10),SUBSTITUTE(A274,CHAR(13),"")&amp;CHAR(10))-1))))," ","~",LEN(LEFT((" "&amp;LEFT(SUBSTITUTE(A274,CHAR(13),""),FIND(CHAR(10),SUBSTITUTE(A274,CHAR(13),"")&amp;CHAR(10))-1)),FIND(".",(" "&amp;LEFT(SUBSTITUTE(A274,CHAR(13),""),FIND(CHAR(10),SUBSTITUTE(A274,CHAR(13),"")&amp;CHAR(10))-1)))))-LEN(SUBSTITUTE(LEFT((" "&amp;LEFT(SUBSTITUTE(A274,CHAR(13),""),FIND(CHAR(10),SUBSTITUTE(A274,CHAR(13),"")&amp;CHAR(10))-1)),FIND(".",(" "&amp;LEFT(SUBSTITUTE(A274,CHAR(13),""),FIND(CHAR(10),SUBSTITUTE(A274,CHAR(13),"")&amp;CHAR(10))-1))))," ",""))))+1)),""))</f>
        <v/>
      </c>
    </row>
    <row r="275" customFormat="false" ht="30" hidden="false" customHeight="true" outlineLevel="0" collapsed="false">
      <c r="A275" s="11" t="str">
        <f aca="false">IFERROR(INDEX(Pegar!$A$3:$A$1002,MATCH(271,Pegar!$B$3:$B$1002,0))&amp;IF(LEFT(INDEX(Pegar!$A$3:$A$1003,MATCH(271,Pegar!$B$3:$B$1002,0)+1),5)="DESC=",CHAR(10)&amp;INDEX(Pegar!$A$3:$A$1003,MATCH(271,Pegar!$B$3:$B$1002,0)+1),""),"")</f>
        <v/>
      </c>
      <c r="B275" s="12" t="str">
        <f aca="false">IF(TRIM(A275)="","",IFERROR(MID(SUBSTITUTE(SUBSTITUTE(A275,CHAR(10)," "),CHAR(13)," "),FIND(" MT"," "&amp;SUBSTITUTE(SUBSTITUTE(A275,CHAR(10)," "),CHAR(13)," ")),FIND(" ",SUBSTITUTE(SUBSTITUTE(A275,CHAR(10)," "),CHAR(13)," ")&amp;" ",FIND(" MT"," "&amp;SUBSTITUTE(SUBSTITUTE(A275,CHAR(10)," "),CHAR(13)," ")))-FIND(" MT"," "&amp;SUBSTITUTE(SUBSTITUTE(A275,CHAR(10)," "),CHAR(13)," "))),"MT no encontrado"))</f>
        <v/>
      </c>
      <c r="C275" s="15" t="str">
        <f aca="false">IF(TRIM(A275)="","",IF(D275="",FALSE(),SUBSTITUTE(SUBSTITUTE(SUBSTITUTE(D275,".",""),"0",""),"-","")&lt;&gt;""))</f>
        <v/>
      </c>
      <c r="D275" s="14" t="str">
        <f aca="false">IF(TRIM(A275)="","",IFERROR(MID((" "&amp;LEFT(SUBSTITUTE(A275,CHAR(13),""),FIND(CHAR(10),SUBSTITUTE(A275,CHAR(13),"")&amp;CHAR(10))-1)),(FIND("~",SUBSTITUTE(LEFT((" "&amp;LEFT(SUBSTITUTE(A275,CHAR(13),""),FIND(CHAR(10),SUBSTITUTE(A275,CHAR(13),"")&amp;CHAR(10))-1)),FIND(".",(" "&amp;LEFT(SUBSTITUTE(A275,CHAR(13),""),FIND(CHAR(10),SUBSTITUTE(A275,CHAR(13),"")&amp;CHAR(10))-1))))," ","~",LEN(LEFT((" "&amp;LEFT(SUBSTITUTE(A275,CHAR(13),""),FIND(CHAR(10),SUBSTITUTE(A275,CHAR(13),"")&amp;CHAR(10))-1)),FIND(".",(" "&amp;LEFT(SUBSTITUTE(A275,CHAR(13),""),FIND(CHAR(10),SUBSTITUTE(A275,CHAR(13),"")&amp;CHAR(10))-1)))))-LEN(SUBSTITUTE(LEFT((" "&amp;LEFT(SUBSTITUTE(A275,CHAR(13),""),FIND(CHAR(10),SUBSTITUTE(A275,CHAR(13),"")&amp;CHAR(10))-1)),FIND(".",(" "&amp;LEFT(SUBSTITUTE(A275,CHAR(13),""),FIND(CHAR(10),SUBSTITUTE(A275,CHAR(13),"")&amp;CHAR(10))-1))))," ",""))))+1),FIND(" ",(" "&amp;LEFT(SUBSTITUTE(A275,CHAR(13),""),FIND(CHAR(10),SUBSTITUTE(A275,CHAR(13),"")&amp;CHAR(10))-1))&amp;" ",FIND(".",(" "&amp;LEFT(SUBSTITUTE(A275,CHAR(13),""),FIND(CHAR(10),SUBSTITUTE(A275,CHAR(13),"")&amp;CHAR(10))-1))))-(FIND("~",SUBSTITUTE(LEFT((" "&amp;LEFT(SUBSTITUTE(A275,CHAR(13),""),FIND(CHAR(10),SUBSTITUTE(A275,CHAR(13),"")&amp;CHAR(10))-1)),FIND(".",(" "&amp;LEFT(SUBSTITUTE(A275,CHAR(13),""),FIND(CHAR(10),SUBSTITUTE(A275,CHAR(13),"")&amp;CHAR(10))-1))))," ","~",LEN(LEFT((" "&amp;LEFT(SUBSTITUTE(A275,CHAR(13),""),FIND(CHAR(10),SUBSTITUTE(A275,CHAR(13),"")&amp;CHAR(10))-1)),FIND(".",(" "&amp;LEFT(SUBSTITUTE(A275,CHAR(13),""),FIND(CHAR(10),SUBSTITUTE(A275,CHAR(13),"")&amp;CHAR(10))-1)))))-LEN(SUBSTITUTE(LEFT((" "&amp;LEFT(SUBSTITUTE(A275,CHAR(13),""),FIND(CHAR(10),SUBSTITUTE(A275,CHAR(13),"")&amp;CHAR(10))-1)),FIND(".",(" "&amp;LEFT(SUBSTITUTE(A275,CHAR(13),""),FIND(CHAR(10),SUBSTITUTE(A275,CHAR(13),"")&amp;CHAR(10))-1))))," ",""))))+1)),""))</f>
        <v/>
      </c>
    </row>
    <row r="276" customFormat="false" ht="30" hidden="false" customHeight="true" outlineLevel="0" collapsed="false">
      <c r="A276" s="11" t="str">
        <f aca="false">IFERROR(INDEX(Pegar!$A$3:$A$1002,MATCH(272,Pegar!$B$3:$B$1002,0))&amp;IF(LEFT(INDEX(Pegar!$A$3:$A$1003,MATCH(272,Pegar!$B$3:$B$1002,0)+1),5)="DESC=",CHAR(10)&amp;INDEX(Pegar!$A$3:$A$1003,MATCH(272,Pegar!$B$3:$B$1002,0)+1),""),"")</f>
        <v/>
      </c>
      <c r="B276" s="12" t="str">
        <f aca="false">IF(TRIM(A276)="","",IFERROR(MID(SUBSTITUTE(SUBSTITUTE(A276,CHAR(10)," "),CHAR(13)," "),FIND(" MT"," "&amp;SUBSTITUTE(SUBSTITUTE(A276,CHAR(10)," "),CHAR(13)," ")),FIND(" ",SUBSTITUTE(SUBSTITUTE(A276,CHAR(10)," "),CHAR(13)," ")&amp;" ",FIND(" MT"," "&amp;SUBSTITUTE(SUBSTITUTE(A276,CHAR(10)," "),CHAR(13)," ")))-FIND(" MT"," "&amp;SUBSTITUTE(SUBSTITUTE(A276,CHAR(10)," "),CHAR(13)," "))),"MT no encontrado"))</f>
        <v/>
      </c>
      <c r="C276" s="15" t="str">
        <f aca="false">IF(TRIM(A276)="","",IF(D276="",FALSE(),SUBSTITUTE(SUBSTITUTE(SUBSTITUTE(D276,".",""),"0",""),"-","")&lt;&gt;""))</f>
        <v/>
      </c>
      <c r="D276" s="14" t="str">
        <f aca="false">IF(TRIM(A276)="","",IFERROR(MID((" "&amp;LEFT(SUBSTITUTE(A276,CHAR(13),""),FIND(CHAR(10),SUBSTITUTE(A276,CHAR(13),"")&amp;CHAR(10))-1)),(FIND("~",SUBSTITUTE(LEFT((" "&amp;LEFT(SUBSTITUTE(A276,CHAR(13),""),FIND(CHAR(10),SUBSTITUTE(A276,CHAR(13),"")&amp;CHAR(10))-1)),FIND(".",(" "&amp;LEFT(SUBSTITUTE(A276,CHAR(13),""),FIND(CHAR(10),SUBSTITUTE(A276,CHAR(13),"")&amp;CHAR(10))-1))))," ","~",LEN(LEFT((" "&amp;LEFT(SUBSTITUTE(A276,CHAR(13),""),FIND(CHAR(10),SUBSTITUTE(A276,CHAR(13),"")&amp;CHAR(10))-1)),FIND(".",(" "&amp;LEFT(SUBSTITUTE(A276,CHAR(13),""),FIND(CHAR(10),SUBSTITUTE(A276,CHAR(13),"")&amp;CHAR(10))-1)))))-LEN(SUBSTITUTE(LEFT((" "&amp;LEFT(SUBSTITUTE(A276,CHAR(13),""),FIND(CHAR(10),SUBSTITUTE(A276,CHAR(13),"")&amp;CHAR(10))-1)),FIND(".",(" "&amp;LEFT(SUBSTITUTE(A276,CHAR(13),""),FIND(CHAR(10),SUBSTITUTE(A276,CHAR(13),"")&amp;CHAR(10))-1))))," ",""))))+1),FIND(" ",(" "&amp;LEFT(SUBSTITUTE(A276,CHAR(13),""),FIND(CHAR(10),SUBSTITUTE(A276,CHAR(13),"")&amp;CHAR(10))-1))&amp;" ",FIND(".",(" "&amp;LEFT(SUBSTITUTE(A276,CHAR(13),""),FIND(CHAR(10),SUBSTITUTE(A276,CHAR(13),"")&amp;CHAR(10))-1))))-(FIND("~",SUBSTITUTE(LEFT((" "&amp;LEFT(SUBSTITUTE(A276,CHAR(13),""),FIND(CHAR(10),SUBSTITUTE(A276,CHAR(13),"")&amp;CHAR(10))-1)),FIND(".",(" "&amp;LEFT(SUBSTITUTE(A276,CHAR(13),""),FIND(CHAR(10),SUBSTITUTE(A276,CHAR(13),"")&amp;CHAR(10))-1))))," ","~",LEN(LEFT((" "&amp;LEFT(SUBSTITUTE(A276,CHAR(13),""),FIND(CHAR(10),SUBSTITUTE(A276,CHAR(13),"")&amp;CHAR(10))-1)),FIND(".",(" "&amp;LEFT(SUBSTITUTE(A276,CHAR(13),""),FIND(CHAR(10),SUBSTITUTE(A276,CHAR(13),"")&amp;CHAR(10))-1)))))-LEN(SUBSTITUTE(LEFT((" "&amp;LEFT(SUBSTITUTE(A276,CHAR(13),""),FIND(CHAR(10),SUBSTITUTE(A276,CHAR(13),"")&amp;CHAR(10))-1)),FIND(".",(" "&amp;LEFT(SUBSTITUTE(A276,CHAR(13),""),FIND(CHAR(10),SUBSTITUTE(A276,CHAR(13),"")&amp;CHAR(10))-1))))," ",""))))+1)),""))</f>
        <v/>
      </c>
    </row>
    <row r="277" customFormat="false" ht="30" hidden="false" customHeight="true" outlineLevel="0" collapsed="false">
      <c r="A277" s="11" t="str">
        <f aca="false">IFERROR(INDEX(Pegar!$A$3:$A$1002,MATCH(273,Pegar!$B$3:$B$1002,0))&amp;IF(LEFT(INDEX(Pegar!$A$3:$A$1003,MATCH(273,Pegar!$B$3:$B$1002,0)+1),5)="DESC=",CHAR(10)&amp;INDEX(Pegar!$A$3:$A$1003,MATCH(273,Pegar!$B$3:$B$1002,0)+1),""),"")</f>
        <v/>
      </c>
      <c r="B277" s="12" t="str">
        <f aca="false">IF(TRIM(A277)="","",IFERROR(MID(SUBSTITUTE(SUBSTITUTE(A277,CHAR(10)," "),CHAR(13)," "),FIND(" MT"," "&amp;SUBSTITUTE(SUBSTITUTE(A277,CHAR(10)," "),CHAR(13)," ")),FIND(" ",SUBSTITUTE(SUBSTITUTE(A277,CHAR(10)," "),CHAR(13)," ")&amp;" ",FIND(" MT"," "&amp;SUBSTITUTE(SUBSTITUTE(A277,CHAR(10)," "),CHAR(13)," ")))-FIND(" MT"," "&amp;SUBSTITUTE(SUBSTITUTE(A277,CHAR(10)," "),CHAR(13)," "))),"MT no encontrado"))</f>
        <v/>
      </c>
      <c r="C277" s="15" t="str">
        <f aca="false">IF(TRIM(A277)="","",IF(D277="",FALSE(),SUBSTITUTE(SUBSTITUTE(SUBSTITUTE(D277,".",""),"0",""),"-","")&lt;&gt;""))</f>
        <v/>
      </c>
      <c r="D277" s="14" t="str">
        <f aca="false">IF(TRIM(A277)="","",IFERROR(MID((" "&amp;LEFT(SUBSTITUTE(A277,CHAR(13),""),FIND(CHAR(10),SUBSTITUTE(A277,CHAR(13),"")&amp;CHAR(10))-1)),(FIND("~",SUBSTITUTE(LEFT((" "&amp;LEFT(SUBSTITUTE(A277,CHAR(13),""),FIND(CHAR(10),SUBSTITUTE(A277,CHAR(13),"")&amp;CHAR(10))-1)),FIND(".",(" "&amp;LEFT(SUBSTITUTE(A277,CHAR(13),""),FIND(CHAR(10),SUBSTITUTE(A277,CHAR(13),"")&amp;CHAR(10))-1))))," ","~",LEN(LEFT((" "&amp;LEFT(SUBSTITUTE(A277,CHAR(13),""),FIND(CHAR(10),SUBSTITUTE(A277,CHAR(13),"")&amp;CHAR(10))-1)),FIND(".",(" "&amp;LEFT(SUBSTITUTE(A277,CHAR(13),""),FIND(CHAR(10),SUBSTITUTE(A277,CHAR(13),"")&amp;CHAR(10))-1)))))-LEN(SUBSTITUTE(LEFT((" "&amp;LEFT(SUBSTITUTE(A277,CHAR(13),""),FIND(CHAR(10),SUBSTITUTE(A277,CHAR(13),"")&amp;CHAR(10))-1)),FIND(".",(" "&amp;LEFT(SUBSTITUTE(A277,CHAR(13),""),FIND(CHAR(10),SUBSTITUTE(A277,CHAR(13),"")&amp;CHAR(10))-1))))," ",""))))+1),FIND(" ",(" "&amp;LEFT(SUBSTITUTE(A277,CHAR(13),""),FIND(CHAR(10),SUBSTITUTE(A277,CHAR(13),"")&amp;CHAR(10))-1))&amp;" ",FIND(".",(" "&amp;LEFT(SUBSTITUTE(A277,CHAR(13),""),FIND(CHAR(10),SUBSTITUTE(A277,CHAR(13),"")&amp;CHAR(10))-1))))-(FIND("~",SUBSTITUTE(LEFT((" "&amp;LEFT(SUBSTITUTE(A277,CHAR(13),""),FIND(CHAR(10),SUBSTITUTE(A277,CHAR(13),"")&amp;CHAR(10))-1)),FIND(".",(" "&amp;LEFT(SUBSTITUTE(A277,CHAR(13),""),FIND(CHAR(10),SUBSTITUTE(A277,CHAR(13),"")&amp;CHAR(10))-1))))," ","~",LEN(LEFT((" "&amp;LEFT(SUBSTITUTE(A277,CHAR(13),""),FIND(CHAR(10),SUBSTITUTE(A277,CHAR(13),"")&amp;CHAR(10))-1)),FIND(".",(" "&amp;LEFT(SUBSTITUTE(A277,CHAR(13),""),FIND(CHAR(10),SUBSTITUTE(A277,CHAR(13),"")&amp;CHAR(10))-1)))))-LEN(SUBSTITUTE(LEFT((" "&amp;LEFT(SUBSTITUTE(A277,CHAR(13),""),FIND(CHAR(10),SUBSTITUTE(A277,CHAR(13),"")&amp;CHAR(10))-1)),FIND(".",(" "&amp;LEFT(SUBSTITUTE(A277,CHAR(13),""),FIND(CHAR(10),SUBSTITUTE(A277,CHAR(13),"")&amp;CHAR(10))-1))))," ",""))))+1)),""))</f>
        <v/>
      </c>
    </row>
    <row r="278" customFormat="false" ht="30" hidden="false" customHeight="true" outlineLevel="0" collapsed="false">
      <c r="A278" s="11" t="str">
        <f aca="false">IFERROR(INDEX(Pegar!$A$3:$A$1002,MATCH(274,Pegar!$B$3:$B$1002,0))&amp;IF(LEFT(INDEX(Pegar!$A$3:$A$1003,MATCH(274,Pegar!$B$3:$B$1002,0)+1),5)="DESC=",CHAR(10)&amp;INDEX(Pegar!$A$3:$A$1003,MATCH(274,Pegar!$B$3:$B$1002,0)+1),""),"")</f>
        <v/>
      </c>
      <c r="B278" s="12" t="str">
        <f aca="false">IF(TRIM(A278)="","",IFERROR(MID(SUBSTITUTE(SUBSTITUTE(A278,CHAR(10)," "),CHAR(13)," "),FIND(" MT"," "&amp;SUBSTITUTE(SUBSTITUTE(A278,CHAR(10)," "),CHAR(13)," ")),FIND(" ",SUBSTITUTE(SUBSTITUTE(A278,CHAR(10)," "),CHAR(13)," ")&amp;" ",FIND(" MT"," "&amp;SUBSTITUTE(SUBSTITUTE(A278,CHAR(10)," "),CHAR(13)," ")))-FIND(" MT"," "&amp;SUBSTITUTE(SUBSTITUTE(A278,CHAR(10)," "),CHAR(13)," "))),"MT no encontrado"))</f>
        <v/>
      </c>
      <c r="C278" s="15" t="str">
        <f aca="false">IF(TRIM(A278)="","",IF(D278="",FALSE(),SUBSTITUTE(SUBSTITUTE(SUBSTITUTE(D278,".",""),"0",""),"-","")&lt;&gt;""))</f>
        <v/>
      </c>
      <c r="D278" s="14" t="str">
        <f aca="false">IF(TRIM(A278)="","",IFERROR(MID((" "&amp;LEFT(SUBSTITUTE(A278,CHAR(13),""),FIND(CHAR(10),SUBSTITUTE(A278,CHAR(13),"")&amp;CHAR(10))-1)),(FIND("~",SUBSTITUTE(LEFT((" "&amp;LEFT(SUBSTITUTE(A278,CHAR(13),""),FIND(CHAR(10),SUBSTITUTE(A278,CHAR(13),"")&amp;CHAR(10))-1)),FIND(".",(" "&amp;LEFT(SUBSTITUTE(A278,CHAR(13),""),FIND(CHAR(10),SUBSTITUTE(A278,CHAR(13),"")&amp;CHAR(10))-1))))," ","~",LEN(LEFT((" "&amp;LEFT(SUBSTITUTE(A278,CHAR(13),""),FIND(CHAR(10),SUBSTITUTE(A278,CHAR(13),"")&amp;CHAR(10))-1)),FIND(".",(" "&amp;LEFT(SUBSTITUTE(A278,CHAR(13),""),FIND(CHAR(10),SUBSTITUTE(A278,CHAR(13),"")&amp;CHAR(10))-1)))))-LEN(SUBSTITUTE(LEFT((" "&amp;LEFT(SUBSTITUTE(A278,CHAR(13),""),FIND(CHAR(10),SUBSTITUTE(A278,CHAR(13),"")&amp;CHAR(10))-1)),FIND(".",(" "&amp;LEFT(SUBSTITUTE(A278,CHAR(13),""),FIND(CHAR(10),SUBSTITUTE(A278,CHAR(13),"")&amp;CHAR(10))-1))))," ",""))))+1),FIND(" ",(" "&amp;LEFT(SUBSTITUTE(A278,CHAR(13),""),FIND(CHAR(10),SUBSTITUTE(A278,CHAR(13),"")&amp;CHAR(10))-1))&amp;" ",FIND(".",(" "&amp;LEFT(SUBSTITUTE(A278,CHAR(13),""),FIND(CHAR(10),SUBSTITUTE(A278,CHAR(13),"")&amp;CHAR(10))-1))))-(FIND("~",SUBSTITUTE(LEFT((" "&amp;LEFT(SUBSTITUTE(A278,CHAR(13),""),FIND(CHAR(10),SUBSTITUTE(A278,CHAR(13),"")&amp;CHAR(10))-1)),FIND(".",(" "&amp;LEFT(SUBSTITUTE(A278,CHAR(13),""),FIND(CHAR(10),SUBSTITUTE(A278,CHAR(13),"")&amp;CHAR(10))-1))))," ","~",LEN(LEFT((" "&amp;LEFT(SUBSTITUTE(A278,CHAR(13),""),FIND(CHAR(10),SUBSTITUTE(A278,CHAR(13),"")&amp;CHAR(10))-1)),FIND(".",(" "&amp;LEFT(SUBSTITUTE(A278,CHAR(13),""),FIND(CHAR(10),SUBSTITUTE(A278,CHAR(13),"")&amp;CHAR(10))-1)))))-LEN(SUBSTITUTE(LEFT((" "&amp;LEFT(SUBSTITUTE(A278,CHAR(13),""),FIND(CHAR(10),SUBSTITUTE(A278,CHAR(13),"")&amp;CHAR(10))-1)),FIND(".",(" "&amp;LEFT(SUBSTITUTE(A278,CHAR(13),""),FIND(CHAR(10),SUBSTITUTE(A278,CHAR(13),"")&amp;CHAR(10))-1))))," ",""))))+1)),""))</f>
        <v/>
      </c>
    </row>
    <row r="279" customFormat="false" ht="30" hidden="false" customHeight="true" outlineLevel="0" collapsed="false">
      <c r="A279" s="11" t="str">
        <f aca="false">IFERROR(INDEX(Pegar!$A$3:$A$1002,MATCH(275,Pegar!$B$3:$B$1002,0))&amp;IF(LEFT(INDEX(Pegar!$A$3:$A$1003,MATCH(275,Pegar!$B$3:$B$1002,0)+1),5)="DESC=",CHAR(10)&amp;INDEX(Pegar!$A$3:$A$1003,MATCH(275,Pegar!$B$3:$B$1002,0)+1),""),"")</f>
        <v/>
      </c>
      <c r="B279" s="12" t="str">
        <f aca="false">IF(TRIM(A279)="","",IFERROR(MID(SUBSTITUTE(SUBSTITUTE(A279,CHAR(10)," "),CHAR(13)," "),FIND(" MT"," "&amp;SUBSTITUTE(SUBSTITUTE(A279,CHAR(10)," "),CHAR(13)," ")),FIND(" ",SUBSTITUTE(SUBSTITUTE(A279,CHAR(10)," "),CHAR(13)," ")&amp;" ",FIND(" MT"," "&amp;SUBSTITUTE(SUBSTITUTE(A279,CHAR(10)," "),CHAR(13)," ")))-FIND(" MT"," "&amp;SUBSTITUTE(SUBSTITUTE(A279,CHAR(10)," "),CHAR(13)," "))),"MT no encontrado"))</f>
        <v/>
      </c>
      <c r="C279" s="15" t="str">
        <f aca="false">IF(TRIM(A279)="","",IF(D279="",FALSE(),SUBSTITUTE(SUBSTITUTE(SUBSTITUTE(D279,".",""),"0",""),"-","")&lt;&gt;""))</f>
        <v/>
      </c>
      <c r="D279" s="14" t="str">
        <f aca="false">IF(TRIM(A279)="","",IFERROR(MID((" "&amp;LEFT(SUBSTITUTE(A279,CHAR(13),""),FIND(CHAR(10),SUBSTITUTE(A279,CHAR(13),"")&amp;CHAR(10))-1)),(FIND("~",SUBSTITUTE(LEFT((" "&amp;LEFT(SUBSTITUTE(A279,CHAR(13),""),FIND(CHAR(10),SUBSTITUTE(A279,CHAR(13),"")&amp;CHAR(10))-1)),FIND(".",(" "&amp;LEFT(SUBSTITUTE(A279,CHAR(13),""),FIND(CHAR(10),SUBSTITUTE(A279,CHAR(13),"")&amp;CHAR(10))-1))))," ","~",LEN(LEFT((" "&amp;LEFT(SUBSTITUTE(A279,CHAR(13),""),FIND(CHAR(10),SUBSTITUTE(A279,CHAR(13),"")&amp;CHAR(10))-1)),FIND(".",(" "&amp;LEFT(SUBSTITUTE(A279,CHAR(13),""),FIND(CHAR(10),SUBSTITUTE(A279,CHAR(13),"")&amp;CHAR(10))-1)))))-LEN(SUBSTITUTE(LEFT((" "&amp;LEFT(SUBSTITUTE(A279,CHAR(13),""),FIND(CHAR(10),SUBSTITUTE(A279,CHAR(13),"")&amp;CHAR(10))-1)),FIND(".",(" "&amp;LEFT(SUBSTITUTE(A279,CHAR(13),""),FIND(CHAR(10),SUBSTITUTE(A279,CHAR(13),"")&amp;CHAR(10))-1))))," ",""))))+1),FIND(" ",(" "&amp;LEFT(SUBSTITUTE(A279,CHAR(13),""),FIND(CHAR(10),SUBSTITUTE(A279,CHAR(13),"")&amp;CHAR(10))-1))&amp;" ",FIND(".",(" "&amp;LEFT(SUBSTITUTE(A279,CHAR(13),""),FIND(CHAR(10),SUBSTITUTE(A279,CHAR(13),"")&amp;CHAR(10))-1))))-(FIND("~",SUBSTITUTE(LEFT((" "&amp;LEFT(SUBSTITUTE(A279,CHAR(13),""),FIND(CHAR(10),SUBSTITUTE(A279,CHAR(13),"")&amp;CHAR(10))-1)),FIND(".",(" "&amp;LEFT(SUBSTITUTE(A279,CHAR(13),""),FIND(CHAR(10),SUBSTITUTE(A279,CHAR(13),"")&amp;CHAR(10))-1))))," ","~",LEN(LEFT((" "&amp;LEFT(SUBSTITUTE(A279,CHAR(13),""),FIND(CHAR(10),SUBSTITUTE(A279,CHAR(13),"")&amp;CHAR(10))-1)),FIND(".",(" "&amp;LEFT(SUBSTITUTE(A279,CHAR(13),""),FIND(CHAR(10),SUBSTITUTE(A279,CHAR(13),"")&amp;CHAR(10))-1)))))-LEN(SUBSTITUTE(LEFT((" "&amp;LEFT(SUBSTITUTE(A279,CHAR(13),""),FIND(CHAR(10),SUBSTITUTE(A279,CHAR(13),"")&amp;CHAR(10))-1)),FIND(".",(" "&amp;LEFT(SUBSTITUTE(A279,CHAR(13),""),FIND(CHAR(10),SUBSTITUTE(A279,CHAR(13),"")&amp;CHAR(10))-1))))," ",""))))+1)),""))</f>
        <v/>
      </c>
    </row>
    <row r="280" customFormat="false" ht="30" hidden="false" customHeight="true" outlineLevel="0" collapsed="false">
      <c r="A280" s="11" t="str">
        <f aca="false">IFERROR(INDEX(Pegar!$A$3:$A$1002,MATCH(276,Pegar!$B$3:$B$1002,0))&amp;IF(LEFT(INDEX(Pegar!$A$3:$A$1003,MATCH(276,Pegar!$B$3:$B$1002,0)+1),5)="DESC=",CHAR(10)&amp;INDEX(Pegar!$A$3:$A$1003,MATCH(276,Pegar!$B$3:$B$1002,0)+1),""),"")</f>
        <v/>
      </c>
      <c r="B280" s="12" t="str">
        <f aca="false">IF(TRIM(A280)="","",IFERROR(MID(SUBSTITUTE(SUBSTITUTE(A280,CHAR(10)," "),CHAR(13)," "),FIND(" MT"," "&amp;SUBSTITUTE(SUBSTITUTE(A280,CHAR(10)," "),CHAR(13)," ")),FIND(" ",SUBSTITUTE(SUBSTITUTE(A280,CHAR(10)," "),CHAR(13)," ")&amp;" ",FIND(" MT"," "&amp;SUBSTITUTE(SUBSTITUTE(A280,CHAR(10)," "),CHAR(13)," ")))-FIND(" MT"," "&amp;SUBSTITUTE(SUBSTITUTE(A280,CHAR(10)," "),CHAR(13)," "))),"MT no encontrado"))</f>
        <v/>
      </c>
      <c r="C280" s="15" t="str">
        <f aca="false">IF(TRIM(A280)="","",IF(D280="",FALSE(),SUBSTITUTE(SUBSTITUTE(SUBSTITUTE(D280,".",""),"0",""),"-","")&lt;&gt;""))</f>
        <v/>
      </c>
      <c r="D280" s="14" t="str">
        <f aca="false">IF(TRIM(A280)="","",IFERROR(MID((" "&amp;LEFT(SUBSTITUTE(A280,CHAR(13),""),FIND(CHAR(10),SUBSTITUTE(A280,CHAR(13),"")&amp;CHAR(10))-1)),(FIND("~",SUBSTITUTE(LEFT((" "&amp;LEFT(SUBSTITUTE(A280,CHAR(13),""),FIND(CHAR(10),SUBSTITUTE(A280,CHAR(13),"")&amp;CHAR(10))-1)),FIND(".",(" "&amp;LEFT(SUBSTITUTE(A280,CHAR(13),""),FIND(CHAR(10),SUBSTITUTE(A280,CHAR(13),"")&amp;CHAR(10))-1))))," ","~",LEN(LEFT((" "&amp;LEFT(SUBSTITUTE(A280,CHAR(13),""),FIND(CHAR(10),SUBSTITUTE(A280,CHAR(13),"")&amp;CHAR(10))-1)),FIND(".",(" "&amp;LEFT(SUBSTITUTE(A280,CHAR(13),""),FIND(CHAR(10),SUBSTITUTE(A280,CHAR(13),"")&amp;CHAR(10))-1)))))-LEN(SUBSTITUTE(LEFT((" "&amp;LEFT(SUBSTITUTE(A280,CHAR(13),""),FIND(CHAR(10),SUBSTITUTE(A280,CHAR(13),"")&amp;CHAR(10))-1)),FIND(".",(" "&amp;LEFT(SUBSTITUTE(A280,CHAR(13),""),FIND(CHAR(10),SUBSTITUTE(A280,CHAR(13),"")&amp;CHAR(10))-1))))," ",""))))+1),FIND(" ",(" "&amp;LEFT(SUBSTITUTE(A280,CHAR(13),""),FIND(CHAR(10),SUBSTITUTE(A280,CHAR(13),"")&amp;CHAR(10))-1))&amp;" ",FIND(".",(" "&amp;LEFT(SUBSTITUTE(A280,CHAR(13),""),FIND(CHAR(10),SUBSTITUTE(A280,CHAR(13),"")&amp;CHAR(10))-1))))-(FIND("~",SUBSTITUTE(LEFT((" "&amp;LEFT(SUBSTITUTE(A280,CHAR(13),""),FIND(CHAR(10),SUBSTITUTE(A280,CHAR(13),"")&amp;CHAR(10))-1)),FIND(".",(" "&amp;LEFT(SUBSTITUTE(A280,CHAR(13),""),FIND(CHAR(10),SUBSTITUTE(A280,CHAR(13),"")&amp;CHAR(10))-1))))," ","~",LEN(LEFT((" "&amp;LEFT(SUBSTITUTE(A280,CHAR(13),""),FIND(CHAR(10),SUBSTITUTE(A280,CHAR(13),"")&amp;CHAR(10))-1)),FIND(".",(" "&amp;LEFT(SUBSTITUTE(A280,CHAR(13),""),FIND(CHAR(10),SUBSTITUTE(A280,CHAR(13),"")&amp;CHAR(10))-1)))))-LEN(SUBSTITUTE(LEFT((" "&amp;LEFT(SUBSTITUTE(A280,CHAR(13),""),FIND(CHAR(10),SUBSTITUTE(A280,CHAR(13),"")&amp;CHAR(10))-1)),FIND(".",(" "&amp;LEFT(SUBSTITUTE(A280,CHAR(13),""),FIND(CHAR(10),SUBSTITUTE(A280,CHAR(13),"")&amp;CHAR(10))-1))))," ",""))))+1)),""))</f>
        <v/>
      </c>
    </row>
    <row r="281" customFormat="false" ht="30" hidden="false" customHeight="true" outlineLevel="0" collapsed="false">
      <c r="A281" s="11" t="str">
        <f aca="false">IFERROR(INDEX(Pegar!$A$3:$A$1002,MATCH(277,Pegar!$B$3:$B$1002,0))&amp;IF(LEFT(INDEX(Pegar!$A$3:$A$1003,MATCH(277,Pegar!$B$3:$B$1002,0)+1),5)="DESC=",CHAR(10)&amp;INDEX(Pegar!$A$3:$A$1003,MATCH(277,Pegar!$B$3:$B$1002,0)+1),""),"")</f>
        <v/>
      </c>
      <c r="B281" s="12" t="str">
        <f aca="false">IF(TRIM(A281)="","",IFERROR(MID(SUBSTITUTE(SUBSTITUTE(A281,CHAR(10)," "),CHAR(13)," "),FIND(" MT"," "&amp;SUBSTITUTE(SUBSTITUTE(A281,CHAR(10)," "),CHAR(13)," ")),FIND(" ",SUBSTITUTE(SUBSTITUTE(A281,CHAR(10)," "),CHAR(13)," ")&amp;" ",FIND(" MT"," "&amp;SUBSTITUTE(SUBSTITUTE(A281,CHAR(10)," "),CHAR(13)," ")))-FIND(" MT"," "&amp;SUBSTITUTE(SUBSTITUTE(A281,CHAR(10)," "),CHAR(13)," "))),"MT no encontrado"))</f>
        <v/>
      </c>
      <c r="C281" s="15" t="str">
        <f aca="false">IF(TRIM(A281)="","",IF(D281="",FALSE(),SUBSTITUTE(SUBSTITUTE(SUBSTITUTE(D281,".",""),"0",""),"-","")&lt;&gt;""))</f>
        <v/>
      </c>
      <c r="D281" s="14" t="str">
        <f aca="false">IF(TRIM(A281)="","",IFERROR(MID((" "&amp;LEFT(SUBSTITUTE(A281,CHAR(13),""),FIND(CHAR(10),SUBSTITUTE(A281,CHAR(13),"")&amp;CHAR(10))-1)),(FIND("~",SUBSTITUTE(LEFT((" "&amp;LEFT(SUBSTITUTE(A281,CHAR(13),""),FIND(CHAR(10),SUBSTITUTE(A281,CHAR(13),"")&amp;CHAR(10))-1)),FIND(".",(" "&amp;LEFT(SUBSTITUTE(A281,CHAR(13),""),FIND(CHAR(10),SUBSTITUTE(A281,CHAR(13),"")&amp;CHAR(10))-1))))," ","~",LEN(LEFT((" "&amp;LEFT(SUBSTITUTE(A281,CHAR(13),""),FIND(CHAR(10),SUBSTITUTE(A281,CHAR(13),"")&amp;CHAR(10))-1)),FIND(".",(" "&amp;LEFT(SUBSTITUTE(A281,CHAR(13),""),FIND(CHAR(10),SUBSTITUTE(A281,CHAR(13),"")&amp;CHAR(10))-1)))))-LEN(SUBSTITUTE(LEFT((" "&amp;LEFT(SUBSTITUTE(A281,CHAR(13),""),FIND(CHAR(10),SUBSTITUTE(A281,CHAR(13),"")&amp;CHAR(10))-1)),FIND(".",(" "&amp;LEFT(SUBSTITUTE(A281,CHAR(13),""),FIND(CHAR(10),SUBSTITUTE(A281,CHAR(13),"")&amp;CHAR(10))-1))))," ",""))))+1),FIND(" ",(" "&amp;LEFT(SUBSTITUTE(A281,CHAR(13),""),FIND(CHAR(10),SUBSTITUTE(A281,CHAR(13),"")&amp;CHAR(10))-1))&amp;" ",FIND(".",(" "&amp;LEFT(SUBSTITUTE(A281,CHAR(13),""),FIND(CHAR(10),SUBSTITUTE(A281,CHAR(13),"")&amp;CHAR(10))-1))))-(FIND("~",SUBSTITUTE(LEFT((" "&amp;LEFT(SUBSTITUTE(A281,CHAR(13),""),FIND(CHAR(10),SUBSTITUTE(A281,CHAR(13),"")&amp;CHAR(10))-1)),FIND(".",(" "&amp;LEFT(SUBSTITUTE(A281,CHAR(13),""),FIND(CHAR(10),SUBSTITUTE(A281,CHAR(13),"")&amp;CHAR(10))-1))))," ","~",LEN(LEFT((" "&amp;LEFT(SUBSTITUTE(A281,CHAR(13),""),FIND(CHAR(10),SUBSTITUTE(A281,CHAR(13),"")&amp;CHAR(10))-1)),FIND(".",(" "&amp;LEFT(SUBSTITUTE(A281,CHAR(13),""),FIND(CHAR(10),SUBSTITUTE(A281,CHAR(13),"")&amp;CHAR(10))-1)))))-LEN(SUBSTITUTE(LEFT((" "&amp;LEFT(SUBSTITUTE(A281,CHAR(13),""),FIND(CHAR(10),SUBSTITUTE(A281,CHAR(13),"")&amp;CHAR(10))-1)),FIND(".",(" "&amp;LEFT(SUBSTITUTE(A281,CHAR(13),""),FIND(CHAR(10),SUBSTITUTE(A281,CHAR(13),"")&amp;CHAR(10))-1))))," ",""))))+1)),""))</f>
        <v/>
      </c>
    </row>
    <row r="282" customFormat="false" ht="30" hidden="false" customHeight="true" outlineLevel="0" collapsed="false">
      <c r="A282" s="11" t="str">
        <f aca="false">IFERROR(INDEX(Pegar!$A$3:$A$1002,MATCH(278,Pegar!$B$3:$B$1002,0))&amp;IF(LEFT(INDEX(Pegar!$A$3:$A$1003,MATCH(278,Pegar!$B$3:$B$1002,0)+1),5)="DESC=",CHAR(10)&amp;INDEX(Pegar!$A$3:$A$1003,MATCH(278,Pegar!$B$3:$B$1002,0)+1),""),"")</f>
        <v/>
      </c>
      <c r="B282" s="12" t="str">
        <f aca="false">IF(TRIM(A282)="","",IFERROR(MID(SUBSTITUTE(SUBSTITUTE(A282,CHAR(10)," "),CHAR(13)," "),FIND(" MT"," "&amp;SUBSTITUTE(SUBSTITUTE(A282,CHAR(10)," "),CHAR(13)," ")),FIND(" ",SUBSTITUTE(SUBSTITUTE(A282,CHAR(10)," "),CHAR(13)," ")&amp;" ",FIND(" MT"," "&amp;SUBSTITUTE(SUBSTITUTE(A282,CHAR(10)," "),CHAR(13)," ")))-FIND(" MT"," "&amp;SUBSTITUTE(SUBSTITUTE(A282,CHAR(10)," "),CHAR(13)," "))),"MT no encontrado"))</f>
        <v/>
      </c>
      <c r="C282" s="15" t="str">
        <f aca="false">IF(TRIM(A282)="","",IF(D282="",FALSE(),SUBSTITUTE(SUBSTITUTE(SUBSTITUTE(D282,".",""),"0",""),"-","")&lt;&gt;""))</f>
        <v/>
      </c>
      <c r="D282" s="14" t="str">
        <f aca="false">IF(TRIM(A282)="","",IFERROR(MID((" "&amp;LEFT(SUBSTITUTE(A282,CHAR(13),""),FIND(CHAR(10),SUBSTITUTE(A282,CHAR(13),"")&amp;CHAR(10))-1)),(FIND("~",SUBSTITUTE(LEFT((" "&amp;LEFT(SUBSTITUTE(A282,CHAR(13),""),FIND(CHAR(10),SUBSTITUTE(A282,CHAR(13),"")&amp;CHAR(10))-1)),FIND(".",(" "&amp;LEFT(SUBSTITUTE(A282,CHAR(13),""),FIND(CHAR(10),SUBSTITUTE(A282,CHAR(13),"")&amp;CHAR(10))-1))))," ","~",LEN(LEFT((" "&amp;LEFT(SUBSTITUTE(A282,CHAR(13),""),FIND(CHAR(10),SUBSTITUTE(A282,CHAR(13),"")&amp;CHAR(10))-1)),FIND(".",(" "&amp;LEFT(SUBSTITUTE(A282,CHAR(13),""),FIND(CHAR(10),SUBSTITUTE(A282,CHAR(13),"")&amp;CHAR(10))-1)))))-LEN(SUBSTITUTE(LEFT((" "&amp;LEFT(SUBSTITUTE(A282,CHAR(13),""),FIND(CHAR(10),SUBSTITUTE(A282,CHAR(13),"")&amp;CHAR(10))-1)),FIND(".",(" "&amp;LEFT(SUBSTITUTE(A282,CHAR(13),""),FIND(CHAR(10),SUBSTITUTE(A282,CHAR(13),"")&amp;CHAR(10))-1))))," ",""))))+1),FIND(" ",(" "&amp;LEFT(SUBSTITUTE(A282,CHAR(13),""),FIND(CHAR(10),SUBSTITUTE(A282,CHAR(13),"")&amp;CHAR(10))-1))&amp;" ",FIND(".",(" "&amp;LEFT(SUBSTITUTE(A282,CHAR(13),""),FIND(CHAR(10),SUBSTITUTE(A282,CHAR(13),"")&amp;CHAR(10))-1))))-(FIND("~",SUBSTITUTE(LEFT((" "&amp;LEFT(SUBSTITUTE(A282,CHAR(13),""),FIND(CHAR(10),SUBSTITUTE(A282,CHAR(13),"")&amp;CHAR(10))-1)),FIND(".",(" "&amp;LEFT(SUBSTITUTE(A282,CHAR(13),""),FIND(CHAR(10),SUBSTITUTE(A282,CHAR(13),"")&amp;CHAR(10))-1))))," ","~",LEN(LEFT((" "&amp;LEFT(SUBSTITUTE(A282,CHAR(13),""),FIND(CHAR(10),SUBSTITUTE(A282,CHAR(13),"")&amp;CHAR(10))-1)),FIND(".",(" "&amp;LEFT(SUBSTITUTE(A282,CHAR(13),""),FIND(CHAR(10),SUBSTITUTE(A282,CHAR(13),"")&amp;CHAR(10))-1)))))-LEN(SUBSTITUTE(LEFT((" "&amp;LEFT(SUBSTITUTE(A282,CHAR(13),""),FIND(CHAR(10),SUBSTITUTE(A282,CHAR(13),"")&amp;CHAR(10))-1)),FIND(".",(" "&amp;LEFT(SUBSTITUTE(A282,CHAR(13),""),FIND(CHAR(10),SUBSTITUTE(A282,CHAR(13),"")&amp;CHAR(10))-1))))," ",""))))+1)),""))</f>
        <v/>
      </c>
    </row>
    <row r="283" customFormat="false" ht="30" hidden="false" customHeight="true" outlineLevel="0" collapsed="false">
      <c r="A283" s="11" t="str">
        <f aca="false">IFERROR(INDEX(Pegar!$A$3:$A$1002,MATCH(279,Pegar!$B$3:$B$1002,0))&amp;IF(LEFT(INDEX(Pegar!$A$3:$A$1003,MATCH(279,Pegar!$B$3:$B$1002,0)+1),5)="DESC=",CHAR(10)&amp;INDEX(Pegar!$A$3:$A$1003,MATCH(279,Pegar!$B$3:$B$1002,0)+1),""),"")</f>
        <v/>
      </c>
      <c r="B283" s="12" t="str">
        <f aca="false">IF(TRIM(A283)="","",IFERROR(MID(SUBSTITUTE(SUBSTITUTE(A283,CHAR(10)," "),CHAR(13)," "),FIND(" MT"," "&amp;SUBSTITUTE(SUBSTITUTE(A283,CHAR(10)," "),CHAR(13)," ")),FIND(" ",SUBSTITUTE(SUBSTITUTE(A283,CHAR(10)," "),CHAR(13)," ")&amp;" ",FIND(" MT"," "&amp;SUBSTITUTE(SUBSTITUTE(A283,CHAR(10)," "),CHAR(13)," ")))-FIND(" MT"," "&amp;SUBSTITUTE(SUBSTITUTE(A283,CHAR(10)," "),CHAR(13)," "))),"MT no encontrado"))</f>
        <v/>
      </c>
      <c r="C283" s="15" t="str">
        <f aca="false">IF(TRIM(A283)="","",IF(D283="",FALSE(),SUBSTITUTE(SUBSTITUTE(SUBSTITUTE(D283,".",""),"0",""),"-","")&lt;&gt;""))</f>
        <v/>
      </c>
      <c r="D283" s="14" t="str">
        <f aca="false">IF(TRIM(A283)="","",IFERROR(MID((" "&amp;LEFT(SUBSTITUTE(A283,CHAR(13),""),FIND(CHAR(10),SUBSTITUTE(A283,CHAR(13),"")&amp;CHAR(10))-1)),(FIND("~",SUBSTITUTE(LEFT((" "&amp;LEFT(SUBSTITUTE(A283,CHAR(13),""),FIND(CHAR(10),SUBSTITUTE(A283,CHAR(13),"")&amp;CHAR(10))-1)),FIND(".",(" "&amp;LEFT(SUBSTITUTE(A283,CHAR(13),""),FIND(CHAR(10),SUBSTITUTE(A283,CHAR(13),"")&amp;CHAR(10))-1))))," ","~",LEN(LEFT((" "&amp;LEFT(SUBSTITUTE(A283,CHAR(13),""),FIND(CHAR(10),SUBSTITUTE(A283,CHAR(13),"")&amp;CHAR(10))-1)),FIND(".",(" "&amp;LEFT(SUBSTITUTE(A283,CHAR(13),""),FIND(CHAR(10),SUBSTITUTE(A283,CHAR(13),"")&amp;CHAR(10))-1)))))-LEN(SUBSTITUTE(LEFT((" "&amp;LEFT(SUBSTITUTE(A283,CHAR(13),""),FIND(CHAR(10),SUBSTITUTE(A283,CHAR(13),"")&amp;CHAR(10))-1)),FIND(".",(" "&amp;LEFT(SUBSTITUTE(A283,CHAR(13),""),FIND(CHAR(10),SUBSTITUTE(A283,CHAR(13),"")&amp;CHAR(10))-1))))," ",""))))+1),FIND(" ",(" "&amp;LEFT(SUBSTITUTE(A283,CHAR(13),""),FIND(CHAR(10),SUBSTITUTE(A283,CHAR(13),"")&amp;CHAR(10))-1))&amp;" ",FIND(".",(" "&amp;LEFT(SUBSTITUTE(A283,CHAR(13),""),FIND(CHAR(10),SUBSTITUTE(A283,CHAR(13),"")&amp;CHAR(10))-1))))-(FIND("~",SUBSTITUTE(LEFT((" "&amp;LEFT(SUBSTITUTE(A283,CHAR(13),""),FIND(CHAR(10),SUBSTITUTE(A283,CHAR(13),"")&amp;CHAR(10))-1)),FIND(".",(" "&amp;LEFT(SUBSTITUTE(A283,CHAR(13),""),FIND(CHAR(10),SUBSTITUTE(A283,CHAR(13),"")&amp;CHAR(10))-1))))," ","~",LEN(LEFT((" "&amp;LEFT(SUBSTITUTE(A283,CHAR(13),""),FIND(CHAR(10),SUBSTITUTE(A283,CHAR(13),"")&amp;CHAR(10))-1)),FIND(".",(" "&amp;LEFT(SUBSTITUTE(A283,CHAR(13),""),FIND(CHAR(10),SUBSTITUTE(A283,CHAR(13),"")&amp;CHAR(10))-1)))))-LEN(SUBSTITUTE(LEFT((" "&amp;LEFT(SUBSTITUTE(A283,CHAR(13),""),FIND(CHAR(10),SUBSTITUTE(A283,CHAR(13),"")&amp;CHAR(10))-1)),FIND(".",(" "&amp;LEFT(SUBSTITUTE(A283,CHAR(13),""),FIND(CHAR(10),SUBSTITUTE(A283,CHAR(13),"")&amp;CHAR(10))-1))))," ",""))))+1)),""))</f>
        <v/>
      </c>
    </row>
    <row r="284" customFormat="false" ht="30" hidden="false" customHeight="true" outlineLevel="0" collapsed="false">
      <c r="A284" s="11" t="str">
        <f aca="false">IFERROR(INDEX(Pegar!$A$3:$A$1002,MATCH(280,Pegar!$B$3:$B$1002,0))&amp;IF(LEFT(INDEX(Pegar!$A$3:$A$1003,MATCH(280,Pegar!$B$3:$B$1002,0)+1),5)="DESC=",CHAR(10)&amp;INDEX(Pegar!$A$3:$A$1003,MATCH(280,Pegar!$B$3:$B$1002,0)+1),""),"")</f>
        <v/>
      </c>
      <c r="B284" s="12" t="str">
        <f aca="false">IF(TRIM(A284)="","",IFERROR(MID(SUBSTITUTE(SUBSTITUTE(A284,CHAR(10)," "),CHAR(13)," "),FIND(" MT"," "&amp;SUBSTITUTE(SUBSTITUTE(A284,CHAR(10)," "),CHAR(13)," ")),FIND(" ",SUBSTITUTE(SUBSTITUTE(A284,CHAR(10)," "),CHAR(13)," ")&amp;" ",FIND(" MT"," "&amp;SUBSTITUTE(SUBSTITUTE(A284,CHAR(10)," "),CHAR(13)," ")))-FIND(" MT"," "&amp;SUBSTITUTE(SUBSTITUTE(A284,CHAR(10)," "),CHAR(13)," "))),"MT no encontrado"))</f>
        <v/>
      </c>
      <c r="C284" s="15" t="str">
        <f aca="false">IF(TRIM(A284)="","",IF(D284="",FALSE(),SUBSTITUTE(SUBSTITUTE(SUBSTITUTE(D284,".",""),"0",""),"-","")&lt;&gt;""))</f>
        <v/>
      </c>
      <c r="D284" s="14" t="str">
        <f aca="false">IF(TRIM(A284)="","",IFERROR(MID((" "&amp;LEFT(SUBSTITUTE(A284,CHAR(13),""),FIND(CHAR(10),SUBSTITUTE(A284,CHAR(13),"")&amp;CHAR(10))-1)),(FIND("~",SUBSTITUTE(LEFT((" "&amp;LEFT(SUBSTITUTE(A284,CHAR(13),""),FIND(CHAR(10),SUBSTITUTE(A284,CHAR(13),"")&amp;CHAR(10))-1)),FIND(".",(" "&amp;LEFT(SUBSTITUTE(A284,CHAR(13),""),FIND(CHAR(10),SUBSTITUTE(A284,CHAR(13),"")&amp;CHAR(10))-1))))," ","~",LEN(LEFT((" "&amp;LEFT(SUBSTITUTE(A284,CHAR(13),""),FIND(CHAR(10),SUBSTITUTE(A284,CHAR(13),"")&amp;CHAR(10))-1)),FIND(".",(" "&amp;LEFT(SUBSTITUTE(A284,CHAR(13),""),FIND(CHAR(10),SUBSTITUTE(A284,CHAR(13),"")&amp;CHAR(10))-1)))))-LEN(SUBSTITUTE(LEFT((" "&amp;LEFT(SUBSTITUTE(A284,CHAR(13),""),FIND(CHAR(10),SUBSTITUTE(A284,CHAR(13),"")&amp;CHAR(10))-1)),FIND(".",(" "&amp;LEFT(SUBSTITUTE(A284,CHAR(13),""),FIND(CHAR(10),SUBSTITUTE(A284,CHAR(13),"")&amp;CHAR(10))-1))))," ",""))))+1),FIND(" ",(" "&amp;LEFT(SUBSTITUTE(A284,CHAR(13),""),FIND(CHAR(10),SUBSTITUTE(A284,CHAR(13),"")&amp;CHAR(10))-1))&amp;" ",FIND(".",(" "&amp;LEFT(SUBSTITUTE(A284,CHAR(13),""),FIND(CHAR(10),SUBSTITUTE(A284,CHAR(13),"")&amp;CHAR(10))-1))))-(FIND("~",SUBSTITUTE(LEFT((" "&amp;LEFT(SUBSTITUTE(A284,CHAR(13),""),FIND(CHAR(10),SUBSTITUTE(A284,CHAR(13),"")&amp;CHAR(10))-1)),FIND(".",(" "&amp;LEFT(SUBSTITUTE(A284,CHAR(13),""),FIND(CHAR(10),SUBSTITUTE(A284,CHAR(13),"")&amp;CHAR(10))-1))))," ","~",LEN(LEFT((" "&amp;LEFT(SUBSTITUTE(A284,CHAR(13),""),FIND(CHAR(10),SUBSTITUTE(A284,CHAR(13),"")&amp;CHAR(10))-1)),FIND(".",(" "&amp;LEFT(SUBSTITUTE(A284,CHAR(13),""),FIND(CHAR(10),SUBSTITUTE(A284,CHAR(13),"")&amp;CHAR(10))-1)))))-LEN(SUBSTITUTE(LEFT((" "&amp;LEFT(SUBSTITUTE(A284,CHAR(13),""),FIND(CHAR(10),SUBSTITUTE(A284,CHAR(13),"")&amp;CHAR(10))-1)),FIND(".",(" "&amp;LEFT(SUBSTITUTE(A284,CHAR(13),""),FIND(CHAR(10),SUBSTITUTE(A284,CHAR(13),"")&amp;CHAR(10))-1))))," ",""))))+1)),""))</f>
        <v/>
      </c>
    </row>
    <row r="285" customFormat="false" ht="30" hidden="false" customHeight="true" outlineLevel="0" collapsed="false">
      <c r="A285" s="11" t="str">
        <f aca="false">IFERROR(INDEX(Pegar!$A$3:$A$1002,MATCH(281,Pegar!$B$3:$B$1002,0))&amp;IF(LEFT(INDEX(Pegar!$A$3:$A$1003,MATCH(281,Pegar!$B$3:$B$1002,0)+1),5)="DESC=",CHAR(10)&amp;INDEX(Pegar!$A$3:$A$1003,MATCH(281,Pegar!$B$3:$B$1002,0)+1),""),"")</f>
        <v/>
      </c>
      <c r="B285" s="12" t="str">
        <f aca="false">IF(TRIM(A285)="","",IFERROR(MID(SUBSTITUTE(SUBSTITUTE(A285,CHAR(10)," "),CHAR(13)," "),FIND(" MT"," "&amp;SUBSTITUTE(SUBSTITUTE(A285,CHAR(10)," "),CHAR(13)," ")),FIND(" ",SUBSTITUTE(SUBSTITUTE(A285,CHAR(10)," "),CHAR(13)," ")&amp;" ",FIND(" MT"," "&amp;SUBSTITUTE(SUBSTITUTE(A285,CHAR(10)," "),CHAR(13)," ")))-FIND(" MT"," "&amp;SUBSTITUTE(SUBSTITUTE(A285,CHAR(10)," "),CHAR(13)," "))),"MT no encontrado"))</f>
        <v/>
      </c>
      <c r="C285" s="15" t="str">
        <f aca="false">IF(TRIM(A285)="","",IF(D285="",FALSE(),SUBSTITUTE(SUBSTITUTE(SUBSTITUTE(D285,".",""),"0",""),"-","")&lt;&gt;""))</f>
        <v/>
      </c>
      <c r="D285" s="14" t="str">
        <f aca="false">IF(TRIM(A285)="","",IFERROR(MID((" "&amp;LEFT(SUBSTITUTE(A285,CHAR(13),""),FIND(CHAR(10),SUBSTITUTE(A285,CHAR(13),"")&amp;CHAR(10))-1)),(FIND("~",SUBSTITUTE(LEFT((" "&amp;LEFT(SUBSTITUTE(A285,CHAR(13),""),FIND(CHAR(10),SUBSTITUTE(A285,CHAR(13),"")&amp;CHAR(10))-1)),FIND(".",(" "&amp;LEFT(SUBSTITUTE(A285,CHAR(13),""),FIND(CHAR(10),SUBSTITUTE(A285,CHAR(13),"")&amp;CHAR(10))-1))))," ","~",LEN(LEFT((" "&amp;LEFT(SUBSTITUTE(A285,CHAR(13),""),FIND(CHAR(10),SUBSTITUTE(A285,CHAR(13),"")&amp;CHAR(10))-1)),FIND(".",(" "&amp;LEFT(SUBSTITUTE(A285,CHAR(13),""),FIND(CHAR(10),SUBSTITUTE(A285,CHAR(13),"")&amp;CHAR(10))-1)))))-LEN(SUBSTITUTE(LEFT((" "&amp;LEFT(SUBSTITUTE(A285,CHAR(13),""),FIND(CHAR(10),SUBSTITUTE(A285,CHAR(13),"")&amp;CHAR(10))-1)),FIND(".",(" "&amp;LEFT(SUBSTITUTE(A285,CHAR(13),""),FIND(CHAR(10),SUBSTITUTE(A285,CHAR(13),"")&amp;CHAR(10))-1))))," ",""))))+1),FIND(" ",(" "&amp;LEFT(SUBSTITUTE(A285,CHAR(13),""),FIND(CHAR(10),SUBSTITUTE(A285,CHAR(13),"")&amp;CHAR(10))-1))&amp;" ",FIND(".",(" "&amp;LEFT(SUBSTITUTE(A285,CHAR(13),""),FIND(CHAR(10),SUBSTITUTE(A285,CHAR(13),"")&amp;CHAR(10))-1))))-(FIND("~",SUBSTITUTE(LEFT((" "&amp;LEFT(SUBSTITUTE(A285,CHAR(13),""),FIND(CHAR(10),SUBSTITUTE(A285,CHAR(13),"")&amp;CHAR(10))-1)),FIND(".",(" "&amp;LEFT(SUBSTITUTE(A285,CHAR(13),""),FIND(CHAR(10),SUBSTITUTE(A285,CHAR(13),"")&amp;CHAR(10))-1))))," ","~",LEN(LEFT((" "&amp;LEFT(SUBSTITUTE(A285,CHAR(13),""),FIND(CHAR(10),SUBSTITUTE(A285,CHAR(13),"")&amp;CHAR(10))-1)),FIND(".",(" "&amp;LEFT(SUBSTITUTE(A285,CHAR(13),""),FIND(CHAR(10),SUBSTITUTE(A285,CHAR(13),"")&amp;CHAR(10))-1)))))-LEN(SUBSTITUTE(LEFT((" "&amp;LEFT(SUBSTITUTE(A285,CHAR(13),""),FIND(CHAR(10),SUBSTITUTE(A285,CHAR(13),"")&amp;CHAR(10))-1)),FIND(".",(" "&amp;LEFT(SUBSTITUTE(A285,CHAR(13),""),FIND(CHAR(10),SUBSTITUTE(A285,CHAR(13),"")&amp;CHAR(10))-1))))," ",""))))+1)),""))</f>
        <v/>
      </c>
    </row>
    <row r="286" customFormat="false" ht="30" hidden="false" customHeight="true" outlineLevel="0" collapsed="false">
      <c r="A286" s="11" t="str">
        <f aca="false">IFERROR(INDEX(Pegar!$A$3:$A$1002,MATCH(282,Pegar!$B$3:$B$1002,0))&amp;IF(LEFT(INDEX(Pegar!$A$3:$A$1003,MATCH(282,Pegar!$B$3:$B$1002,0)+1),5)="DESC=",CHAR(10)&amp;INDEX(Pegar!$A$3:$A$1003,MATCH(282,Pegar!$B$3:$B$1002,0)+1),""),"")</f>
        <v/>
      </c>
      <c r="B286" s="12" t="str">
        <f aca="false">IF(TRIM(A286)="","",IFERROR(MID(SUBSTITUTE(SUBSTITUTE(A286,CHAR(10)," "),CHAR(13)," "),FIND(" MT"," "&amp;SUBSTITUTE(SUBSTITUTE(A286,CHAR(10)," "),CHAR(13)," ")),FIND(" ",SUBSTITUTE(SUBSTITUTE(A286,CHAR(10)," "),CHAR(13)," ")&amp;" ",FIND(" MT"," "&amp;SUBSTITUTE(SUBSTITUTE(A286,CHAR(10)," "),CHAR(13)," ")))-FIND(" MT"," "&amp;SUBSTITUTE(SUBSTITUTE(A286,CHAR(10)," "),CHAR(13)," "))),"MT no encontrado"))</f>
        <v/>
      </c>
      <c r="C286" s="15" t="str">
        <f aca="false">IF(TRIM(A286)="","",IF(D286="",FALSE(),SUBSTITUTE(SUBSTITUTE(SUBSTITUTE(D286,".",""),"0",""),"-","")&lt;&gt;""))</f>
        <v/>
      </c>
      <c r="D286" s="14" t="str">
        <f aca="false">IF(TRIM(A286)="","",IFERROR(MID((" "&amp;LEFT(SUBSTITUTE(A286,CHAR(13),""),FIND(CHAR(10),SUBSTITUTE(A286,CHAR(13),"")&amp;CHAR(10))-1)),(FIND("~",SUBSTITUTE(LEFT((" "&amp;LEFT(SUBSTITUTE(A286,CHAR(13),""),FIND(CHAR(10),SUBSTITUTE(A286,CHAR(13),"")&amp;CHAR(10))-1)),FIND(".",(" "&amp;LEFT(SUBSTITUTE(A286,CHAR(13),""),FIND(CHAR(10),SUBSTITUTE(A286,CHAR(13),"")&amp;CHAR(10))-1))))," ","~",LEN(LEFT((" "&amp;LEFT(SUBSTITUTE(A286,CHAR(13),""),FIND(CHAR(10),SUBSTITUTE(A286,CHAR(13),"")&amp;CHAR(10))-1)),FIND(".",(" "&amp;LEFT(SUBSTITUTE(A286,CHAR(13),""),FIND(CHAR(10),SUBSTITUTE(A286,CHAR(13),"")&amp;CHAR(10))-1)))))-LEN(SUBSTITUTE(LEFT((" "&amp;LEFT(SUBSTITUTE(A286,CHAR(13),""),FIND(CHAR(10),SUBSTITUTE(A286,CHAR(13),"")&amp;CHAR(10))-1)),FIND(".",(" "&amp;LEFT(SUBSTITUTE(A286,CHAR(13),""),FIND(CHAR(10),SUBSTITUTE(A286,CHAR(13),"")&amp;CHAR(10))-1))))," ",""))))+1),FIND(" ",(" "&amp;LEFT(SUBSTITUTE(A286,CHAR(13),""),FIND(CHAR(10),SUBSTITUTE(A286,CHAR(13),"")&amp;CHAR(10))-1))&amp;" ",FIND(".",(" "&amp;LEFT(SUBSTITUTE(A286,CHAR(13),""),FIND(CHAR(10),SUBSTITUTE(A286,CHAR(13),"")&amp;CHAR(10))-1))))-(FIND("~",SUBSTITUTE(LEFT((" "&amp;LEFT(SUBSTITUTE(A286,CHAR(13),""),FIND(CHAR(10),SUBSTITUTE(A286,CHAR(13),"")&amp;CHAR(10))-1)),FIND(".",(" "&amp;LEFT(SUBSTITUTE(A286,CHAR(13),""),FIND(CHAR(10),SUBSTITUTE(A286,CHAR(13),"")&amp;CHAR(10))-1))))," ","~",LEN(LEFT((" "&amp;LEFT(SUBSTITUTE(A286,CHAR(13),""),FIND(CHAR(10),SUBSTITUTE(A286,CHAR(13),"")&amp;CHAR(10))-1)),FIND(".",(" "&amp;LEFT(SUBSTITUTE(A286,CHAR(13),""),FIND(CHAR(10),SUBSTITUTE(A286,CHAR(13),"")&amp;CHAR(10))-1)))))-LEN(SUBSTITUTE(LEFT((" "&amp;LEFT(SUBSTITUTE(A286,CHAR(13),""),FIND(CHAR(10),SUBSTITUTE(A286,CHAR(13),"")&amp;CHAR(10))-1)),FIND(".",(" "&amp;LEFT(SUBSTITUTE(A286,CHAR(13),""),FIND(CHAR(10),SUBSTITUTE(A286,CHAR(13),"")&amp;CHAR(10))-1))))," ",""))))+1)),""))</f>
        <v/>
      </c>
    </row>
    <row r="287" customFormat="false" ht="30" hidden="false" customHeight="true" outlineLevel="0" collapsed="false">
      <c r="A287" s="11" t="str">
        <f aca="false">IFERROR(INDEX(Pegar!$A$3:$A$1002,MATCH(283,Pegar!$B$3:$B$1002,0))&amp;IF(LEFT(INDEX(Pegar!$A$3:$A$1003,MATCH(283,Pegar!$B$3:$B$1002,0)+1),5)="DESC=",CHAR(10)&amp;INDEX(Pegar!$A$3:$A$1003,MATCH(283,Pegar!$B$3:$B$1002,0)+1),""),"")</f>
        <v/>
      </c>
      <c r="B287" s="12" t="str">
        <f aca="false">IF(TRIM(A287)="","",IFERROR(MID(SUBSTITUTE(SUBSTITUTE(A287,CHAR(10)," "),CHAR(13)," "),FIND(" MT"," "&amp;SUBSTITUTE(SUBSTITUTE(A287,CHAR(10)," "),CHAR(13)," ")),FIND(" ",SUBSTITUTE(SUBSTITUTE(A287,CHAR(10)," "),CHAR(13)," ")&amp;" ",FIND(" MT"," "&amp;SUBSTITUTE(SUBSTITUTE(A287,CHAR(10)," "),CHAR(13)," ")))-FIND(" MT"," "&amp;SUBSTITUTE(SUBSTITUTE(A287,CHAR(10)," "),CHAR(13)," "))),"MT no encontrado"))</f>
        <v/>
      </c>
      <c r="C287" s="15" t="str">
        <f aca="false">IF(TRIM(A287)="","",IF(D287="",FALSE(),SUBSTITUTE(SUBSTITUTE(SUBSTITUTE(D287,".",""),"0",""),"-","")&lt;&gt;""))</f>
        <v/>
      </c>
      <c r="D287" s="14" t="str">
        <f aca="false">IF(TRIM(A287)="","",IFERROR(MID((" "&amp;LEFT(SUBSTITUTE(A287,CHAR(13),""),FIND(CHAR(10),SUBSTITUTE(A287,CHAR(13),"")&amp;CHAR(10))-1)),(FIND("~",SUBSTITUTE(LEFT((" "&amp;LEFT(SUBSTITUTE(A287,CHAR(13),""),FIND(CHAR(10),SUBSTITUTE(A287,CHAR(13),"")&amp;CHAR(10))-1)),FIND(".",(" "&amp;LEFT(SUBSTITUTE(A287,CHAR(13),""),FIND(CHAR(10),SUBSTITUTE(A287,CHAR(13),"")&amp;CHAR(10))-1))))," ","~",LEN(LEFT((" "&amp;LEFT(SUBSTITUTE(A287,CHAR(13),""),FIND(CHAR(10),SUBSTITUTE(A287,CHAR(13),"")&amp;CHAR(10))-1)),FIND(".",(" "&amp;LEFT(SUBSTITUTE(A287,CHAR(13),""),FIND(CHAR(10),SUBSTITUTE(A287,CHAR(13),"")&amp;CHAR(10))-1)))))-LEN(SUBSTITUTE(LEFT((" "&amp;LEFT(SUBSTITUTE(A287,CHAR(13),""),FIND(CHAR(10),SUBSTITUTE(A287,CHAR(13),"")&amp;CHAR(10))-1)),FIND(".",(" "&amp;LEFT(SUBSTITUTE(A287,CHAR(13),""),FIND(CHAR(10),SUBSTITUTE(A287,CHAR(13),"")&amp;CHAR(10))-1))))," ",""))))+1),FIND(" ",(" "&amp;LEFT(SUBSTITUTE(A287,CHAR(13),""),FIND(CHAR(10),SUBSTITUTE(A287,CHAR(13),"")&amp;CHAR(10))-1))&amp;" ",FIND(".",(" "&amp;LEFT(SUBSTITUTE(A287,CHAR(13),""),FIND(CHAR(10),SUBSTITUTE(A287,CHAR(13),"")&amp;CHAR(10))-1))))-(FIND("~",SUBSTITUTE(LEFT((" "&amp;LEFT(SUBSTITUTE(A287,CHAR(13),""),FIND(CHAR(10),SUBSTITUTE(A287,CHAR(13),"")&amp;CHAR(10))-1)),FIND(".",(" "&amp;LEFT(SUBSTITUTE(A287,CHAR(13),""),FIND(CHAR(10),SUBSTITUTE(A287,CHAR(13),"")&amp;CHAR(10))-1))))," ","~",LEN(LEFT((" "&amp;LEFT(SUBSTITUTE(A287,CHAR(13),""),FIND(CHAR(10),SUBSTITUTE(A287,CHAR(13),"")&amp;CHAR(10))-1)),FIND(".",(" "&amp;LEFT(SUBSTITUTE(A287,CHAR(13),""),FIND(CHAR(10),SUBSTITUTE(A287,CHAR(13),"")&amp;CHAR(10))-1)))))-LEN(SUBSTITUTE(LEFT((" "&amp;LEFT(SUBSTITUTE(A287,CHAR(13),""),FIND(CHAR(10),SUBSTITUTE(A287,CHAR(13),"")&amp;CHAR(10))-1)),FIND(".",(" "&amp;LEFT(SUBSTITUTE(A287,CHAR(13),""),FIND(CHAR(10),SUBSTITUTE(A287,CHAR(13),"")&amp;CHAR(10))-1))))," ",""))))+1)),""))</f>
        <v/>
      </c>
    </row>
    <row r="288" customFormat="false" ht="30" hidden="false" customHeight="true" outlineLevel="0" collapsed="false">
      <c r="A288" s="11" t="str">
        <f aca="false">IFERROR(INDEX(Pegar!$A$3:$A$1002,MATCH(284,Pegar!$B$3:$B$1002,0))&amp;IF(LEFT(INDEX(Pegar!$A$3:$A$1003,MATCH(284,Pegar!$B$3:$B$1002,0)+1),5)="DESC=",CHAR(10)&amp;INDEX(Pegar!$A$3:$A$1003,MATCH(284,Pegar!$B$3:$B$1002,0)+1),""),"")</f>
        <v/>
      </c>
      <c r="B288" s="12" t="str">
        <f aca="false">IF(TRIM(A288)="","",IFERROR(MID(SUBSTITUTE(SUBSTITUTE(A288,CHAR(10)," "),CHAR(13)," "),FIND(" MT"," "&amp;SUBSTITUTE(SUBSTITUTE(A288,CHAR(10)," "),CHAR(13)," ")),FIND(" ",SUBSTITUTE(SUBSTITUTE(A288,CHAR(10)," "),CHAR(13)," ")&amp;" ",FIND(" MT"," "&amp;SUBSTITUTE(SUBSTITUTE(A288,CHAR(10)," "),CHAR(13)," ")))-FIND(" MT"," "&amp;SUBSTITUTE(SUBSTITUTE(A288,CHAR(10)," "),CHAR(13)," "))),"MT no encontrado"))</f>
        <v/>
      </c>
      <c r="C288" s="15" t="str">
        <f aca="false">IF(TRIM(A288)="","",IF(D288="",FALSE(),SUBSTITUTE(SUBSTITUTE(SUBSTITUTE(D288,".",""),"0",""),"-","")&lt;&gt;""))</f>
        <v/>
      </c>
      <c r="D288" s="14" t="str">
        <f aca="false">IF(TRIM(A288)="","",IFERROR(MID((" "&amp;LEFT(SUBSTITUTE(A288,CHAR(13),""),FIND(CHAR(10),SUBSTITUTE(A288,CHAR(13),"")&amp;CHAR(10))-1)),(FIND("~",SUBSTITUTE(LEFT((" "&amp;LEFT(SUBSTITUTE(A288,CHAR(13),""),FIND(CHAR(10),SUBSTITUTE(A288,CHAR(13),"")&amp;CHAR(10))-1)),FIND(".",(" "&amp;LEFT(SUBSTITUTE(A288,CHAR(13),""),FIND(CHAR(10),SUBSTITUTE(A288,CHAR(13),"")&amp;CHAR(10))-1))))," ","~",LEN(LEFT((" "&amp;LEFT(SUBSTITUTE(A288,CHAR(13),""),FIND(CHAR(10),SUBSTITUTE(A288,CHAR(13),"")&amp;CHAR(10))-1)),FIND(".",(" "&amp;LEFT(SUBSTITUTE(A288,CHAR(13),""),FIND(CHAR(10),SUBSTITUTE(A288,CHAR(13),"")&amp;CHAR(10))-1)))))-LEN(SUBSTITUTE(LEFT((" "&amp;LEFT(SUBSTITUTE(A288,CHAR(13),""),FIND(CHAR(10),SUBSTITUTE(A288,CHAR(13),"")&amp;CHAR(10))-1)),FIND(".",(" "&amp;LEFT(SUBSTITUTE(A288,CHAR(13),""),FIND(CHAR(10),SUBSTITUTE(A288,CHAR(13),"")&amp;CHAR(10))-1))))," ",""))))+1),FIND(" ",(" "&amp;LEFT(SUBSTITUTE(A288,CHAR(13),""),FIND(CHAR(10),SUBSTITUTE(A288,CHAR(13),"")&amp;CHAR(10))-1))&amp;" ",FIND(".",(" "&amp;LEFT(SUBSTITUTE(A288,CHAR(13),""),FIND(CHAR(10),SUBSTITUTE(A288,CHAR(13),"")&amp;CHAR(10))-1))))-(FIND("~",SUBSTITUTE(LEFT((" "&amp;LEFT(SUBSTITUTE(A288,CHAR(13),""),FIND(CHAR(10),SUBSTITUTE(A288,CHAR(13),"")&amp;CHAR(10))-1)),FIND(".",(" "&amp;LEFT(SUBSTITUTE(A288,CHAR(13),""),FIND(CHAR(10),SUBSTITUTE(A288,CHAR(13),"")&amp;CHAR(10))-1))))," ","~",LEN(LEFT((" "&amp;LEFT(SUBSTITUTE(A288,CHAR(13),""),FIND(CHAR(10),SUBSTITUTE(A288,CHAR(13),"")&amp;CHAR(10))-1)),FIND(".",(" "&amp;LEFT(SUBSTITUTE(A288,CHAR(13),""),FIND(CHAR(10),SUBSTITUTE(A288,CHAR(13),"")&amp;CHAR(10))-1)))))-LEN(SUBSTITUTE(LEFT((" "&amp;LEFT(SUBSTITUTE(A288,CHAR(13),""),FIND(CHAR(10),SUBSTITUTE(A288,CHAR(13),"")&amp;CHAR(10))-1)),FIND(".",(" "&amp;LEFT(SUBSTITUTE(A288,CHAR(13),""),FIND(CHAR(10),SUBSTITUTE(A288,CHAR(13),"")&amp;CHAR(10))-1))))," ",""))))+1)),""))</f>
        <v/>
      </c>
    </row>
    <row r="289" customFormat="false" ht="30" hidden="false" customHeight="true" outlineLevel="0" collapsed="false">
      <c r="A289" s="11" t="str">
        <f aca="false">IFERROR(INDEX(Pegar!$A$3:$A$1002,MATCH(285,Pegar!$B$3:$B$1002,0))&amp;IF(LEFT(INDEX(Pegar!$A$3:$A$1003,MATCH(285,Pegar!$B$3:$B$1002,0)+1),5)="DESC=",CHAR(10)&amp;INDEX(Pegar!$A$3:$A$1003,MATCH(285,Pegar!$B$3:$B$1002,0)+1),""),"")</f>
        <v/>
      </c>
      <c r="B289" s="12" t="str">
        <f aca="false">IF(TRIM(A289)="","",IFERROR(MID(SUBSTITUTE(SUBSTITUTE(A289,CHAR(10)," "),CHAR(13)," "),FIND(" MT"," "&amp;SUBSTITUTE(SUBSTITUTE(A289,CHAR(10)," "),CHAR(13)," ")),FIND(" ",SUBSTITUTE(SUBSTITUTE(A289,CHAR(10)," "),CHAR(13)," ")&amp;" ",FIND(" MT"," "&amp;SUBSTITUTE(SUBSTITUTE(A289,CHAR(10)," "),CHAR(13)," ")))-FIND(" MT"," "&amp;SUBSTITUTE(SUBSTITUTE(A289,CHAR(10)," "),CHAR(13)," "))),"MT no encontrado"))</f>
        <v/>
      </c>
      <c r="C289" s="15" t="str">
        <f aca="false">IF(TRIM(A289)="","",IF(D289="",FALSE(),SUBSTITUTE(SUBSTITUTE(SUBSTITUTE(D289,".",""),"0",""),"-","")&lt;&gt;""))</f>
        <v/>
      </c>
      <c r="D289" s="14" t="str">
        <f aca="false">IF(TRIM(A289)="","",IFERROR(MID((" "&amp;LEFT(SUBSTITUTE(A289,CHAR(13),""),FIND(CHAR(10),SUBSTITUTE(A289,CHAR(13),"")&amp;CHAR(10))-1)),(FIND("~",SUBSTITUTE(LEFT((" "&amp;LEFT(SUBSTITUTE(A289,CHAR(13),""),FIND(CHAR(10),SUBSTITUTE(A289,CHAR(13),"")&amp;CHAR(10))-1)),FIND(".",(" "&amp;LEFT(SUBSTITUTE(A289,CHAR(13),""),FIND(CHAR(10),SUBSTITUTE(A289,CHAR(13),"")&amp;CHAR(10))-1))))," ","~",LEN(LEFT((" "&amp;LEFT(SUBSTITUTE(A289,CHAR(13),""),FIND(CHAR(10),SUBSTITUTE(A289,CHAR(13),"")&amp;CHAR(10))-1)),FIND(".",(" "&amp;LEFT(SUBSTITUTE(A289,CHAR(13),""),FIND(CHAR(10),SUBSTITUTE(A289,CHAR(13),"")&amp;CHAR(10))-1)))))-LEN(SUBSTITUTE(LEFT((" "&amp;LEFT(SUBSTITUTE(A289,CHAR(13),""),FIND(CHAR(10),SUBSTITUTE(A289,CHAR(13),"")&amp;CHAR(10))-1)),FIND(".",(" "&amp;LEFT(SUBSTITUTE(A289,CHAR(13),""),FIND(CHAR(10),SUBSTITUTE(A289,CHAR(13),"")&amp;CHAR(10))-1))))," ",""))))+1),FIND(" ",(" "&amp;LEFT(SUBSTITUTE(A289,CHAR(13),""),FIND(CHAR(10),SUBSTITUTE(A289,CHAR(13),"")&amp;CHAR(10))-1))&amp;" ",FIND(".",(" "&amp;LEFT(SUBSTITUTE(A289,CHAR(13),""),FIND(CHAR(10),SUBSTITUTE(A289,CHAR(13),"")&amp;CHAR(10))-1))))-(FIND("~",SUBSTITUTE(LEFT((" "&amp;LEFT(SUBSTITUTE(A289,CHAR(13),""),FIND(CHAR(10),SUBSTITUTE(A289,CHAR(13),"")&amp;CHAR(10))-1)),FIND(".",(" "&amp;LEFT(SUBSTITUTE(A289,CHAR(13),""),FIND(CHAR(10),SUBSTITUTE(A289,CHAR(13),"")&amp;CHAR(10))-1))))," ","~",LEN(LEFT((" "&amp;LEFT(SUBSTITUTE(A289,CHAR(13),""),FIND(CHAR(10),SUBSTITUTE(A289,CHAR(13),"")&amp;CHAR(10))-1)),FIND(".",(" "&amp;LEFT(SUBSTITUTE(A289,CHAR(13),""),FIND(CHAR(10),SUBSTITUTE(A289,CHAR(13),"")&amp;CHAR(10))-1)))))-LEN(SUBSTITUTE(LEFT((" "&amp;LEFT(SUBSTITUTE(A289,CHAR(13),""),FIND(CHAR(10),SUBSTITUTE(A289,CHAR(13),"")&amp;CHAR(10))-1)),FIND(".",(" "&amp;LEFT(SUBSTITUTE(A289,CHAR(13),""),FIND(CHAR(10),SUBSTITUTE(A289,CHAR(13),"")&amp;CHAR(10))-1))))," ",""))))+1)),""))</f>
        <v/>
      </c>
    </row>
    <row r="290" customFormat="false" ht="30" hidden="false" customHeight="true" outlineLevel="0" collapsed="false">
      <c r="A290" s="11" t="str">
        <f aca="false">IFERROR(INDEX(Pegar!$A$3:$A$1002,MATCH(286,Pegar!$B$3:$B$1002,0))&amp;IF(LEFT(INDEX(Pegar!$A$3:$A$1003,MATCH(286,Pegar!$B$3:$B$1002,0)+1),5)="DESC=",CHAR(10)&amp;INDEX(Pegar!$A$3:$A$1003,MATCH(286,Pegar!$B$3:$B$1002,0)+1),""),"")</f>
        <v/>
      </c>
      <c r="B290" s="12" t="str">
        <f aca="false">IF(TRIM(A290)="","",IFERROR(MID(SUBSTITUTE(SUBSTITUTE(A290,CHAR(10)," "),CHAR(13)," "),FIND(" MT"," "&amp;SUBSTITUTE(SUBSTITUTE(A290,CHAR(10)," "),CHAR(13)," ")),FIND(" ",SUBSTITUTE(SUBSTITUTE(A290,CHAR(10)," "),CHAR(13)," ")&amp;" ",FIND(" MT"," "&amp;SUBSTITUTE(SUBSTITUTE(A290,CHAR(10)," "),CHAR(13)," ")))-FIND(" MT"," "&amp;SUBSTITUTE(SUBSTITUTE(A290,CHAR(10)," "),CHAR(13)," "))),"MT no encontrado"))</f>
        <v/>
      </c>
      <c r="C290" s="15" t="str">
        <f aca="false">IF(TRIM(A290)="","",IF(D290="",FALSE(),SUBSTITUTE(SUBSTITUTE(SUBSTITUTE(D290,".",""),"0",""),"-","")&lt;&gt;""))</f>
        <v/>
      </c>
      <c r="D290" s="14" t="str">
        <f aca="false">IF(TRIM(A290)="","",IFERROR(MID((" "&amp;LEFT(SUBSTITUTE(A290,CHAR(13),""),FIND(CHAR(10),SUBSTITUTE(A290,CHAR(13),"")&amp;CHAR(10))-1)),(FIND("~",SUBSTITUTE(LEFT((" "&amp;LEFT(SUBSTITUTE(A290,CHAR(13),""),FIND(CHAR(10),SUBSTITUTE(A290,CHAR(13),"")&amp;CHAR(10))-1)),FIND(".",(" "&amp;LEFT(SUBSTITUTE(A290,CHAR(13),""),FIND(CHAR(10),SUBSTITUTE(A290,CHAR(13),"")&amp;CHAR(10))-1))))," ","~",LEN(LEFT((" "&amp;LEFT(SUBSTITUTE(A290,CHAR(13),""),FIND(CHAR(10),SUBSTITUTE(A290,CHAR(13),"")&amp;CHAR(10))-1)),FIND(".",(" "&amp;LEFT(SUBSTITUTE(A290,CHAR(13),""),FIND(CHAR(10),SUBSTITUTE(A290,CHAR(13),"")&amp;CHAR(10))-1)))))-LEN(SUBSTITUTE(LEFT((" "&amp;LEFT(SUBSTITUTE(A290,CHAR(13),""),FIND(CHAR(10),SUBSTITUTE(A290,CHAR(13),"")&amp;CHAR(10))-1)),FIND(".",(" "&amp;LEFT(SUBSTITUTE(A290,CHAR(13),""),FIND(CHAR(10),SUBSTITUTE(A290,CHAR(13),"")&amp;CHAR(10))-1))))," ",""))))+1),FIND(" ",(" "&amp;LEFT(SUBSTITUTE(A290,CHAR(13),""),FIND(CHAR(10),SUBSTITUTE(A290,CHAR(13),"")&amp;CHAR(10))-1))&amp;" ",FIND(".",(" "&amp;LEFT(SUBSTITUTE(A290,CHAR(13),""),FIND(CHAR(10),SUBSTITUTE(A290,CHAR(13),"")&amp;CHAR(10))-1))))-(FIND("~",SUBSTITUTE(LEFT((" "&amp;LEFT(SUBSTITUTE(A290,CHAR(13),""),FIND(CHAR(10),SUBSTITUTE(A290,CHAR(13),"")&amp;CHAR(10))-1)),FIND(".",(" "&amp;LEFT(SUBSTITUTE(A290,CHAR(13),""),FIND(CHAR(10),SUBSTITUTE(A290,CHAR(13),"")&amp;CHAR(10))-1))))," ","~",LEN(LEFT((" "&amp;LEFT(SUBSTITUTE(A290,CHAR(13),""),FIND(CHAR(10),SUBSTITUTE(A290,CHAR(13),"")&amp;CHAR(10))-1)),FIND(".",(" "&amp;LEFT(SUBSTITUTE(A290,CHAR(13),""),FIND(CHAR(10),SUBSTITUTE(A290,CHAR(13),"")&amp;CHAR(10))-1)))))-LEN(SUBSTITUTE(LEFT((" "&amp;LEFT(SUBSTITUTE(A290,CHAR(13),""),FIND(CHAR(10),SUBSTITUTE(A290,CHAR(13),"")&amp;CHAR(10))-1)),FIND(".",(" "&amp;LEFT(SUBSTITUTE(A290,CHAR(13),""),FIND(CHAR(10),SUBSTITUTE(A290,CHAR(13),"")&amp;CHAR(10))-1))))," ",""))))+1)),""))</f>
        <v/>
      </c>
    </row>
    <row r="291" customFormat="false" ht="30" hidden="false" customHeight="true" outlineLevel="0" collapsed="false">
      <c r="A291" s="11" t="str">
        <f aca="false">IFERROR(INDEX(Pegar!$A$3:$A$1002,MATCH(287,Pegar!$B$3:$B$1002,0))&amp;IF(LEFT(INDEX(Pegar!$A$3:$A$1003,MATCH(287,Pegar!$B$3:$B$1002,0)+1),5)="DESC=",CHAR(10)&amp;INDEX(Pegar!$A$3:$A$1003,MATCH(287,Pegar!$B$3:$B$1002,0)+1),""),"")</f>
        <v/>
      </c>
      <c r="B291" s="12" t="str">
        <f aca="false">IF(TRIM(A291)="","",IFERROR(MID(SUBSTITUTE(SUBSTITUTE(A291,CHAR(10)," "),CHAR(13)," "),FIND(" MT"," "&amp;SUBSTITUTE(SUBSTITUTE(A291,CHAR(10)," "),CHAR(13)," ")),FIND(" ",SUBSTITUTE(SUBSTITUTE(A291,CHAR(10)," "),CHAR(13)," ")&amp;" ",FIND(" MT"," "&amp;SUBSTITUTE(SUBSTITUTE(A291,CHAR(10)," "),CHAR(13)," ")))-FIND(" MT"," "&amp;SUBSTITUTE(SUBSTITUTE(A291,CHAR(10)," "),CHAR(13)," "))),"MT no encontrado"))</f>
        <v/>
      </c>
      <c r="C291" s="15" t="str">
        <f aca="false">IF(TRIM(A291)="","",IF(D291="",FALSE(),SUBSTITUTE(SUBSTITUTE(SUBSTITUTE(D291,".",""),"0",""),"-","")&lt;&gt;""))</f>
        <v/>
      </c>
      <c r="D291" s="14" t="str">
        <f aca="false">IF(TRIM(A291)="","",IFERROR(MID((" "&amp;LEFT(SUBSTITUTE(A291,CHAR(13),""),FIND(CHAR(10),SUBSTITUTE(A291,CHAR(13),"")&amp;CHAR(10))-1)),(FIND("~",SUBSTITUTE(LEFT((" "&amp;LEFT(SUBSTITUTE(A291,CHAR(13),""),FIND(CHAR(10),SUBSTITUTE(A291,CHAR(13),"")&amp;CHAR(10))-1)),FIND(".",(" "&amp;LEFT(SUBSTITUTE(A291,CHAR(13),""),FIND(CHAR(10),SUBSTITUTE(A291,CHAR(13),"")&amp;CHAR(10))-1))))," ","~",LEN(LEFT((" "&amp;LEFT(SUBSTITUTE(A291,CHAR(13),""),FIND(CHAR(10),SUBSTITUTE(A291,CHAR(13),"")&amp;CHAR(10))-1)),FIND(".",(" "&amp;LEFT(SUBSTITUTE(A291,CHAR(13),""),FIND(CHAR(10),SUBSTITUTE(A291,CHAR(13),"")&amp;CHAR(10))-1)))))-LEN(SUBSTITUTE(LEFT((" "&amp;LEFT(SUBSTITUTE(A291,CHAR(13),""),FIND(CHAR(10),SUBSTITUTE(A291,CHAR(13),"")&amp;CHAR(10))-1)),FIND(".",(" "&amp;LEFT(SUBSTITUTE(A291,CHAR(13),""),FIND(CHAR(10),SUBSTITUTE(A291,CHAR(13),"")&amp;CHAR(10))-1))))," ",""))))+1),FIND(" ",(" "&amp;LEFT(SUBSTITUTE(A291,CHAR(13),""),FIND(CHAR(10),SUBSTITUTE(A291,CHAR(13),"")&amp;CHAR(10))-1))&amp;" ",FIND(".",(" "&amp;LEFT(SUBSTITUTE(A291,CHAR(13),""),FIND(CHAR(10),SUBSTITUTE(A291,CHAR(13),"")&amp;CHAR(10))-1))))-(FIND("~",SUBSTITUTE(LEFT((" "&amp;LEFT(SUBSTITUTE(A291,CHAR(13),""),FIND(CHAR(10),SUBSTITUTE(A291,CHAR(13),"")&amp;CHAR(10))-1)),FIND(".",(" "&amp;LEFT(SUBSTITUTE(A291,CHAR(13),""),FIND(CHAR(10),SUBSTITUTE(A291,CHAR(13),"")&amp;CHAR(10))-1))))," ","~",LEN(LEFT((" "&amp;LEFT(SUBSTITUTE(A291,CHAR(13),""),FIND(CHAR(10),SUBSTITUTE(A291,CHAR(13),"")&amp;CHAR(10))-1)),FIND(".",(" "&amp;LEFT(SUBSTITUTE(A291,CHAR(13),""),FIND(CHAR(10),SUBSTITUTE(A291,CHAR(13),"")&amp;CHAR(10))-1)))))-LEN(SUBSTITUTE(LEFT((" "&amp;LEFT(SUBSTITUTE(A291,CHAR(13),""),FIND(CHAR(10),SUBSTITUTE(A291,CHAR(13),"")&amp;CHAR(10))-1)),FIND(".",(" "&amp;LEFT(SUBSTITUTE(A291,CHAR(13),""),FIND(CHAR(10),SUBSTITUTE(A291,CHAR(13),"")&amp;CHAR(10))-1))))," ",""))))+1)),""))</f>
        <v/>
      </c>
    </row>
    <row r="292" customFormat="false" ht="30" hidden="false" customHeight="true" outlineLevel="0" collapsed="false">
      <c r="A292" s="11" t="str">
        <f aca="false">IFERROR(INDEX(Pegar!$A$3:$A$1002,MATCH(288,Pegar!$B$3:$B$1002,0))&amp;IF(LEFT(INDEX(Pegar!$A$3:$A$1003,MATCH(288,Pegar!$B$3:$B$1002,0)+1),5)="DESC=",CHAR(10)&amp;INDEX(Pegar!$A$3:$A$1003,MATCH(288,Pegar!$B$3:$B$1002,0)+1),""),"")</f>
        <v/>
      </c>
      <c r="B292" s="12" t="str">
        <f aca="false">IF(TRIM(A292)="","",IFERROR(MID(SUBSTITUTE(SUBSTITUTE(A292,CHAR(10)," "),CHAR(13)," "),FIND(" MT"," "&amp;SUBSTITUTE(SUBSTITUTE(A292,CHAR(10)," "),CHAR(13)," ")),FIND(" ",SUBSTITUTE(SUBSTITUTE(A292,CHAR(10)," "),CHAR(13)," ")&amp;" ",FIND(" MT"," "&amp;SUBSTITUTE(SUBSTITUTE(A292,CHAR(10)," "),CHAR(13)," ")))-FIND(" MT"," "&amp;SUBSTITUTE(SUBSTITUTE(A292,CHAR(10)," "),CHAR(13)," "))),"MT no encontrado"))</f>
        <v/>
      </c>
      <c r="C292" s="15" t="str">
        <f aca="false">IF(TRIM(A292)="","",IF(D292="",FALSE(),SUBSTITUTE(SUBSTITUTE(SUBSTITUTE(D292,".",""),"0",""),"-","")&lt;&gt;""))</f>
        <v/>
      </c>
      <c r="D292" s="14" t="str">
        <f aca="false">IF(TRIM(A292)="","",IFERROR(MID((" "&amp;LEFT(SUBSTITUTE(A292,CHAR(13),""),FIND(CHAR(10),SUBSTITUTE(A292,CHAR(13),"")&amp;CHAR(10))-1)),(FIND("~",SUBSTITUTE(LEFT((" "&amp;LEFT(SUBSTITUTE(A292,CHAR(13),""),FIND(CHAR(10),SUBSTITUTE(A292,CHAR(13),"")&amp;CHAR(10))-1)),FIND(".",(" "&amp;LEFT(SUBSTITUTE(A292,CHAR(13),""),FIND(CHAR(10),SUBSTITUTE(A292,CHAR(13),"")&amp;CHAR(10))-1))))," ","~",LEN(LEFT((" "&amp;LEFT(SUBSTITUTE(A292,CHAR(13),""),FIND(CHAR(10),SUBSTITUTE(A292,CHAR(13),"")&amp;CHAR(10))-1)),FIND(".",(" "&amp;LEFT(SUBSTITUTE(A292,CHAR(13),""),FIND(CHAR(10),SUBSTITUTE(A292,CHAR(13),"")&amp;CHAR(10))-1)))))-LEN(SUBSTITUTE(LEFT((" "&amp;LEFT(SUBSTITUTE(A292,CHAR(13),""),FIND(CHAR(10),SUBSTITUTE(A292,CHAR(13),"")&amp;CHAR(10))-1)),FIND(".",(" "&amp;LEFT(SUBSTITUTE(A292,CHAR(13),""),FIND(CHAR(10),SUBSTITUTE(A292,CHAR(13),"")&amp;CHAR(10))-1))))," ",""))))+1),FIND(" ",(" "&amp;LEFT(SUBSTITUTE(A292,CHAR(13),""),FIND(CHAR(10),SUBSTITUTE(A292,CHAR(13),"")&amp;CHAR(10))-1))&amp;" ",FIND(".",(" "&amp;LEFT(SUBSTITUTE(A292,CHAR(13),""),FIND(CHAR(10),SUBSTITUTE(A292,CHAR(13),"")&amp;CHAR(10))-1))))-(FIND("~",SUBSTITUTE(LEFT((" "&amp;LEFT(SUBSTITUTE(A292,CHAR(13),""),FIND(CHAR(10),SUBSTITUTE(A292,CHAR(13),"")&amp;CHAR(10))-1)),FIND(".",(" "&amp;LEFT(SUBSTITUTE(A292,CHAR(13),""),FIND(CHAR(10),SUBSTITUTE(A292,CHAR(13),"")&amp;CHAR(10))-1))))," ","~",LEN(LEFT((" "&amp;LEFT(SUBSTITUTE(A292,CHAR(13),""),FIND(CHAR(10),SUBSTITUTE(A292,CHAR(13),"")&amp;CHAR(10))-1)),FIND(".",(" "&amp;LEFT(SUBSTITUTE(A292,CHAR(13),""),FIND(CHAR(10),SUBSTITUTE(A292,CHAR(13),"")&amp;CHAR(10))-1)))))-LEN(SUBSTITUTE(LEFT((" "&amp;LEFT(SUBSTITUTE(A292,CHAR(13),""),FIND(CHAR(10),SUBSTITUTE(A292,CHAR(13),"")&amp;CHAR(10))-1)),FIND(".",(" "&amp;LEFT(SUBSTITUTE(A292,CHAR(13),""),FIND(CHAR(10),SUBSTITUTE(A292,CHAR(13),"")&amp;CHAR(10))-1))))," ",""))))+1)),""))</f>
        <v/>
      </c>
    </row>
    <row r="293" customFormat="false" ht="30" hidden="false" customHeight="true" outlineLevel="0" collapsed="false">
      <c r="A293" s="11" t="str">
        <f aca="false">IFERROR(INDEX(Pegar!$A$3:$A$1002,MATCH(289,Pegar!$B$3:$B$1002,0))&amp;IF(LEFT(INDEX(Pegar!$A$3:$A$1003,MATCH(289,Pegar!$B$3:$B$1002,0)+1),5)="DESC=",CHAR(10)&amp;INDEX(Pegar!$A$3:$A$1003,MATCH(289,Pegar!$B$3:$B$1002,0)+1),""),"")</f>
        <v/>
      </c>
      <c r="B293" s="12" t="str">
        <f aca="false">IF(TRIM(A293)="","",IFERROR(MID(SUBSTITUTE(SUBSTITUTE(A293,CHAR(10)," "),CHAR(13)," "),FIND(" MT"," "&amp;SUBSTITUTE(SUBSTITUTE(A293,CHAR(10)," "),CHAR(13)," ")),FIND(" ",SUBSTITUTE(SUBSTITUTE(A293,CHAR(10)," "),CHAR(13)," ")&amp;" ",FIND(" MT"," "&amp;SUBSTITUTE(SUBSTITUTE(A293,CHAR(10)," "),CHAR(13)," ")))-FIND(" MT"," "&amp;SUBSTITUTE(SUBSTITUTE(A293,CHAR(10)," "),CHAR(13)," "))),"MT no encontrado"))</f>
        <v/>
      </c>
      <c r="C293" s="15" t="str">
        <f aca="false">IF(TRIM(A293)="","",IF(D293="",FALSE(),SUBSTITUTE(SUBSTITUTE(SUBSTITUTE(D293,".",""),"0",""),"-","")&lt;&gt;""))</f>
        <v/>
      </c>
      <c r="D293" s="14" t="str">
        <f aca="false">IF(TRIM(A293)="","",IFERROR(MID((" "&amp;LEFT(SUBSTITUTE(A293,CHAR(13),""),FIND(CHAR(10),SUBSTITUTE(A293,CHAR(13),"")&amp;CHAR(10))-1)),(FIND("~",SUBSTITUTE(LEFT((" "&amp;LEFT(SUBSTITUTE(A293,CHAR(13),""),FIND(CHAR(10),SUBSTITUTE(A293,CHAR(13),"")&amp;CHAR(10))-1)),FIND(".",(" "&amp;LEFT(SUBSTITUTE(A293,CHAR(13),""),FIND(CHAR(10),SUBSTITUTE(A293,CHAR(13),"")&amp;CHAR(10))-1))))," ","~",LEN(LEFT((" "&amp;LEFT(SUBSTITUTE(A293,CHAR(13),""),FIND(CHAR(10),SUBSTITUTE(A293,CHAR(13),"")&amp;CHAR(10))-1)),FIND(".",(" "&amp;LEFT(SUBSTITUTE(A293,CHAR(13),""),FIND(CHAR(10),SUBSTITUTE(A293,CHAR(13),"")&amp;CHAR(10))-1)))))-LEN(SUBSTITUTE(LEFT((" "&amp;LEFT(SUBSTITUTE(A293,CHAR(13),""),FIND(CHAR(10),SUBSTITUTE(A293,CHAR(13),"")&amp;CHAR(10))-1)),FIND(".",(" "&amp;LEFT(SUBSTITUTE(A293,CHAR(13),""),FIND(CHAR(10),SUBSTITUTE(A293,CHAR(13),"")&amp;CHAR(10))-1))))," ",""))))+1),FIND(" ",(" "&amp;LEFT(SUBSTITUTE(A293,CHAR(13),""),FIND(CHAR(10),SUBSTITUTE(A293,CHAR(13),"")&amp;CHAR(10))-1))&amp;" ",FIND(".",(" "&amp;LEFT(SUBSTITUTE(A293,CHAR(13),""),FIND(CHAR(10),SUBSTITUTE(A293,CHAR(13),"")&amp;CHAR(10))-1))))-(FIND("~",SUBSTITUTE(LEFT((" "&amp;LEFT(SUBSTITUTE(A293,CHAR(13),""),FIND(CHAR(10),SUBSTITUTE(A293,CHAR(13),"")&amp;CHAR(10))-1)),FIND(".",(" "&amp;LEFT(SUBSTITUTE(A293,CHAR(13),""),FIND(CHAR(10),SUBSTITUTE(A293,CHAR(13),"")&amp;CHAR(10))-1))))," ","~",LEN(LEFT((" "&amp;LEFT(SUBSTITUTE(A293,CHAR(13),""),FIND(CHAR(10),SUBSTITUTE(A293,CHAR(13),"")&amp;CHAR(10))-1)),FIND(".",(" "&amp;LEFT(SUBSTITUTE(A293,CHAR(13),""),FIND(CHAR(10),SUBSTITUTE(A293,CHAR(13),"")&amp;CHAR(10))-1)))))-LEN(SUBSTITUTE(LEFT((" "&amp;LEFT(SUBSTITUTE(A293,CHAR(13),""),FIND(CHAR(10),SUBSTITUTE(A293,CHAR(13),"")&amp;CHAR(10))-1)),FIND(".",(" "&amp;LEFT(SUBSTITUTE(A293,CHAR(13),""),FIND(CHAR(10),SUBSTITUTE(A293,CHAR(13),"")&amp;CHAR(10))-1))))," ",""))))+1)),""))</f>
        <v/>
      </c>
    </row>
    <row r="294" customFormat="false" ht="30" hidden="false" customHeight="true" outlineLevel="0" collapsed="false">
      <c r="A294" s="11" t="str">
        <f aca="false">IFERROR(INDEX(Pegar!$A$3:$A$1002,MATCH(290,Pegar!$B$3:$B$1002,0))&amp;IF(LEFT(INDEX(Pegar!$A$3:$A$1003,MATCH(290,Pegar!$B$3:$B$1002,0)+1),5)="DESC=",CHAR(10)&amp;INDEX(Pegar!$A$3:$A$1003,MATCH(290,Pegar!$B$3:$B$1002,0)+1),""),"")</f>
        <v/>
      </c>
      <c r="B294" s="12" t="str">
        <f aca="false">IF(TRIM(A294)="","",IFERROR(MID(SUBSTITUTE(SUBSTITUTE(A294,CHAR(10)," "),CHAR(13)," "),FIND(" MT"," "&amp;SUBSTITUTE(SUBSTITUTE(A294,CHAR(10)," "),CHAR(13)," ")),FIND(" ",SUBSTITUTE(SUBSTITUTE(A294,CHAR(10)," "),CHAR(13)," ")&amp;" ",FIND(" MT"," "&amp;SUBSTITUTE(SUBSTITUTE(A294,CHAR(10)," "),CHAR(13)," ")))-FIND(" MT"," "&amp;SUBSTITUTE(SUBSTITUTE(A294,CHAR(10)," "),CHAR(13)," "))),"MT no encontrado"))</f>
        <v/>
      </c>
      <c r="C294" s="15" t="str">
        <f aca="false">IF(TRIM(A294)="","",IF(D294="",FALSE(),SUBSTITUTE(SUBSTITUTE(SUBSTITUTE(D294,".",""),"0",""),"-","")&lt;&gt;""))</f>
        <v/>
      </c>
      <c r="D294" s="14" t="str">
        <f aca="false">IF(TRIM(A294)="","",IFERROR(MID((" "&amp;LEFT(SUBSTITUTE(A294,CHAR(13),""),FIND(CHAR(10),SUBSTITUTE(A294,CHAR(13),"")&amp;CHAR(10))-1)),(FIND("~",SUBSTITUTE(LEFT((" "&amp;LEFT(SUBSTITUTE(A294,CHAR(13),""),FIND(CHAR(10),SUBSTITUTE(A294,CHAR(13),"")&amp;CHAR(10))-1)),FIND(".",(" "&amp;LEFT(SUBSTITUTE(A294,CHAR(13),""),FIND(CHAR(10),SUBSTITUTE(A294,CHAR(13),"")&amp;CHAR(10))-1))))," ","~",LEN(LEFT((" "&amp;LEFT(SUBSTITUTE(A294,CHAR(13),""),FIND(CHAR(10),SUBSTITUTE(A294,CHAR(13),"")&amp;CHAR(10))-1)),FIND(".",(" "&amp;LEFT(SUBSTITUTE(A294,CHAR(13),""),FIND(CHAR(10),SUBSTITUTE(A294,CHAR(13),"")&amp;CHAR(10))-1)))))-LEN(SUBSTITUTE(LEFT((" "&amp;LEFT(SUBSTITUTE(A294,CHAR(13),""),FIND(CHAR(10),SUBSTITUTE(A294,CHAR(13),"")&amp;CHAR(10))-1)),FIND(".",(" "&amp;LEFT(SUBSTITUTE(A294,CHAR(13),""),FIND(CHAR(10),SUBSTITUTE(A294,CHAR(13),"")&amp;CHAR(10))-1))))," ",""))))+1),FIND(" ",(" "&amp;LEFT(SUBSTITUTE(A294,CHAR(13),""),FIND(CHAR(10),SUBSTITUTE(A294,CHAR(13),"")&amp;CHAR(10))-1))&amp;" ",FIND(".",(" "&amp;LEFT(SUBSTITUTE(A294,CHAR(13),""),FIND(CHAR(10),SUBSTITUTE(A294,CHAR(13),"")&amp;CHAR(10))-1))))-(FIND("~",SUBSTITUTE(LEFT((" "&amp;LEFT(SUBSTITUTE(A294,CHAR(13),""),FIND(CHAR(10),SUBSTITUTE(A294,CHAR(13),"")&amp;CHAR(10))-1)),FIND(".",(" "&amp;LEFT(SUBSTITUTE(A294,CHAR(13),""),FIND(CHAR(10),SUBSTITUTE(A294,CHAR(13),"")&amp;CHAR(10))-1))))," ","~",LEN(LEFT((" "&amp;LEFT(SUBSTITUTE(A294,CHAR(13),""),FIND(CHAR(10),SUBSTITUTE(A294,CHAR(13),"")&amp;CHAR(10))-1)),FIND(".",(" "&amp;LEFT(SUBSTITUTE(A294,CHAR(13),""),FIND(CHAR(10),SUBSTITUTE(A294,CHAR(13),"")&amp;CHAR(10))-1)))))-LEN(SUBSTITUTE(LEFT((" "&amp;LEFT(SUBSTITUTE(A294,CHAR(13),""),FIND(CHAR(10),SUBSTITUTE(A294,CHAR(13),"")&amp;CHAR(10))-1)),FIND(".",(" "&amp;LEFT(SUBSTITUTE(A294,CHAR(13),""),FIND(CHAR(10),SUBSTITUTE(A294,CHAR(13),"")&amp;CHAR(10))-1))))," ",""))))+1)),""))</f>
        <v/>
      </c>
    </row>
    <row r="295" customFormat="false" ht="30" hidden="false" customHeight="true" outlineLevel="0" collapsed="false">
      <c r="A295" s="11" t="str">
        <f aca="false">IFERROR(INDEX(Pegar!$A$3:$A$1002,MATCH(291,Pegar!$B$3:$B$1002,0))&amp;IF(LEFT(INDEX(Pegar!$A$3:$A$1003,MATCH(291,Pegar!$B$3:$B$1002,0)+1),5)="DESC=",CHAR(10)&amp;INDEX(Pegar!$A$3:$A$1003,MATCH(291,Pegar!$B$3:$B$1002,0)+1),""),"")</f>
        <v/>
      </c>
      <c r="B295" s="12" t="str">
        <f aca="false">IF(TRIM(A295)="","",IFERROR(MID(SUBSTITUTE(SUBSTITUTE(A295,CHAR(10)," "),CHAR(13)," "),FIND(" MT"," "&amp;SUBSTITUTE(SUBSTITUTE(A295,CHAR(10)," "),CHAR(13)," ")),FIND(" ",SUBSTITUTE(SUBSTITUTE(A295,CHAR(10)," "),CHAR(13)," ")&amp;" ",FIND(" MT"," "&amp;SUBSTITUTE(SUBSTITUTE(A295,CHAR(10)," "),CHAR(13)," ")))-FIND(" MT"," "&amp;SUBSTITUTE(SUBSTITUTE(A295,CHAR(10)," "),CHAR(13)," "))),"MT no encontrado"))</f>
        <v/>
      </c>
      <c r="C295" s="15" t="str">
        <f aca="false">IF(TRIM(A295)="","",IF(D295="",FALSE(),SUBSTITUTE(SUBSTITUTE(SUBSTITUTE(D295,".",""),"0",""),"-","")&lt;&gt;""))</f>
        <v/>
      </c>
      <c r="D295" s="14" t="str">
        <f aca="false">IF(TRIM(A295)="","",IFERROR(MID((" "&amp;LEFT(SUBSTITUTE(A295,CHAR(13),""),FIND(CHAR(10),SUBSTITUTE(A295,CHAR(13),"")&amp;CHAR(10))-1)),(FIND("~",SUBSTITUTE(LEFT((" "&amp;LEFT(SUBSTITUTE(A295,CHAR(13),""),FIND(CHAR(10),SUBSTITUTE(A295,CHAR(13),"")&amp;CHAR(10))-1)),FIND(".",(" "&amp;LEFT(SUBSTITUTE(A295,CHAR(13),""),FIND(CHAR(10),SUBSTITUTE(A295,CHAR(13),"")&amp;CHAR(10))-1))))," ","~",LEN(LEFT((" "&amp;LEFT(SUBSTITUTE(A295,CHAR(13),""),FIND(CHAR(10),SUBSTITUTE(A295,CHAR(13),"")&amp;CHAR(10))-1)),FIND(".",(" "&amp;LEFT(SUBSTITUTE(A295,CHAR(13),""),FIND(CHAR(10),SUBSTITUTE(A295,CHAR(13),"")&amp;CHAR(10))-1)))))-LEN(SUBSTITUTE(LEFT((" "&amp;LEFT(SUBSTITUTE(A295,CHAR(13),""),FIND(CHAR(10),SUBSTITUTE(A295,CHAR(13),"")&amp;CHAR(10))-1)),FIND(".",(" "&amp;LEFT(SUBSTITUTE(A295,CHAR(13),""),FIND(CHAR(10),SUBSTITUTE(A295,CHAR(13),"")&amp;CHAR(10))-1))))," ",""))))+1),FIND(" ",(" "&amp;LEFT(SUBSTITUTE(A295,CHAR(13),""),FIND(CHAR(10),SUBSTITUTE(A295,CHAR(13),"")&amp;CHAR(10))-1))&amp;" ",FIND(".",(" "&amp;LEFT(SUBSTITUTE(A295,CHAR(13),""),FIND(CHAR(10),SUBSTITUTE(A295,CHAR(13),"")&amp;CHAR(10))-1))))-(FIND("~",SUBSTITUTE(LEFT((" "&amp;LEFT(SUBSTITUTE(A295,CHAR(13),""),FIND(CHAR(10),SUBSTITUTE(A295,CHAR(13),"")&amp;CHAR(10))-1)),FIND(".",(" "&amp;LEFT(SUBSTITUTE(A295,CHAR(13),""),FIND(CHAR(10),SUBSTITUTE(A295,CHAR(13),"")&amp;CHAR(10))-1))))," ","~",LEN(LEFT((" "&amp;LEFT(SUBSTITUTE(A295,CHAR(13),""),FIND(CHAR(10),SUBSTITUTE(A295,CHAR(13),"")&amp;CHAR(10))-1)),FIND(".",(" "&amp;LEFT(SUBSTITUTE(A295,CHAR(13),""),FIND(CHAR(10),SUBSTITUTE(A295,CHAR(13),"")&amp;CHAR(10))-1)))))-LEN(SUBSTITUTE(LEFT((" "&amp;LEFT(SUBSTITUTE(A295,CHAR(13),""),FIND(CHAR(10),SUBSTITUTE(A295,CHAR(13),"")&amp;CHAR(10))-1)),FIND(".",(" "&amp;LEFT(SUBSTITUTE(A295,CHAR(13),""),FIND(CHAR(10),SUBSTITUTE(A295,CHAR(13),"")&amp;CHAR(10))-1))))," ",""))))+1)),""))</f>
        <v/>
      </c>
    </row>
    <row r="296" customFormat="false" ht="30" hidden="false" customHeight="true" outlineLevel="0" collapsed="false">
      <c r="A296" s="11" t="str">
        <f aca="false">IFERROR(INDEX(Pegar!$A$3:$A$1002,MATCH(292,Pegar!$B$3:$B$1002,0))&amp;IF(LEFT(INDEX(Pegar!$A$3:$A$1003,MATCH(292,Pegar!$B$3:$B$1002,0)+1),5)="DESC=",CHAR(10)&amp;INDEX(Pegar!$A$3:$A$1003,MATCH(292,Pegar!$B$3:$B$1002,0)+1),""),"")</f>
        <v/>
      </c>
      <c r="B296" s="12" t="str">
        <f aca="false">IF(TRIM(A296)="","",IFERROR(MID(SUBSTITUTE(SUBSTITUTE(A296,CHAR(10)," "),CHAR(13)," "),FIND(" MT"," "&amp;SUBSTITUTE(SUBSTITUTE(A296,CHAR(10)," "),CHAR(13)," ")),FIND(" ",SUBSTITUTE(SUBSTITUTE(A296,CHAR(10)," "),CHAR(13)," ")&amp;" ",FIND(" MT"," "&amp;SUBSTITUTE(SUBSTITUTE(A296,CHAR(10)," "),CHAR(13)," ")))-FIND(" MT"," "&amp;SUBSTITUTE(SUBSTITUTE(A296,CHAR(10)," "),CHAR(13)," "))),"MT no encontrado"))</f>
        <v/>
      </c>
      <c r="C296" s="15" t="str">
        <f aca="false">IF(TRIM(A296)="","",IF(D296="",FALSE(),SUBSTITUTE(SUBSTITUTE(SUBSTITUTE(D296,".",""),"0",""),"-","")&lt;&gt;""))</f>
        <v/>
      </c>
      <c r="D296" s="14" t="str">
        <f aca="false">IF(TRIM(A296)="","",IFERROR(MID((" "&amp;LEFT(SUBSTITUTE(A296,CHAR(13),""),FIND(CHAR(10),SUBSTITUTE(A296,CHAR(13),"")&amp;CHAR(10))-1)),(FIND("~",SUBSTITUTE(LEFT((" "&amp;LEFT(SUBSTITUTE(A296,CHAR(13),""),FIND(CHAR(10),SUBSTITUTE(A296,CHAR(13),"")&amp;CHAR(10))-1)),FIND(".",(" "&amp;LEFT(SUBSTITUTE(A296,CHAR(13),""),FIND(CHAR(10),SUBSTITUTE(A296,CHAR(13),"")&amp;CHAR(10))-1))))," ","~",LEN(LEFT((" "&amp;LEFT(SUBSTITUTE(A296,CHAR(13),""),FIND(CHAR(10),SUBSTITUTE(A296,CHAR(13),"")&amp;CHAR(10))-1)),FIND(".",(" "&amp;LEFT(SUBSTITUTE(A296,CHAR(13),""),FIND(CHAR(10),SUBSTITUTE(A296,CHAR(13),"")&amp;CHAR(10))-1)))))-LEN(SUBSTITUTE(LEFT((" "&amp;LEFT(SUBSTITUTE(A296,CHAR(13),""),FIND(CHAR(10),SUBSTITUTE(A296,CHAR(13),"")&amp;CHAR(10))-1)),FIND(".",(" "&amp;LEFT(SUBSTITUTE(A296,CHAR(13),""),FIND(CHAR(10),SUBSTITUTE(A296,CHAR(13),"")&amp;CHAR(10))-1))))," ",""))))+1),FIND(" ",(" "&amp;LEFT(SUBSTITUTE(A296,CHAR(13),""),FIND(CHAR(10),SUBSTITUTE(A296,CHAR(13),"")&amp;CHAR(10))-1))&amp;" ",FIND(".",(" "&amp;LEFT(SUBSTITUTE(A296,CHAR(13),""),FIND(CHAR(10),SUBSTITUTE(A296,CHAR(13),"")&amp;CHAR(10))-1))))-(FIND("~",SUBSTITUTE(LEFT((" "&amp;LEFT(SUBSTITUTE(A296,CHAR(13),""),FIND(CHAR(10),SUBSTITUTE(A296,CHAR(13),"")&amp;CHAR(10))-1)),FIND(".",(" "&amp;LEFT(SUBSTITUTE(A296,CHAR(13),""),FIND(CHAR(10),SUBSTITUTE(A296,CHAR(13),"")&amp;CHAR(10))-1))))," ","~",LEN(LEFT((" "&amp;LEFT(SUBSTITUTE(A296,CHAR(13),""),FIND(CHAR(10),SUBSTITUTE(A296,CHAR(13),"")&amp;CHAR(10))-1)),FIND(".",(" "&amp;LEFT(SUBSTITUTE(A296,CHAR(13),""),FIND(CHAR(10),SUBSTITUTE(A296,CHAR(13),"")&amp;CHAR(10))-1)))))-LEN(SUBSTITUTE(LEFT((" "&amp;LEFT(SUBSTITUTE(A296,CHAR(13),""),FIND(CHAR(10),SUBSTITUTE(A296,CHAR(13),"")&amp;CHAR(10))-1)),FIND(".",(" "&amp;LEFT(SUBSTITUTE(A296,CHAR(13),""),FIND(CHAR(10),SUBSTITUTE(A296,CHAR(13),"")&amp;CHAR(10))-1))))," ",""))))+1)),""))</f>
        <v/>
      </c>
    </row>
    <row r="297" customFormat="false" ht="30" hidden="false" customHeight="true" outlineLevel="0" collapsed="false">
      <c r="A297" s="11" t="str">
        <f aca="false">IFERROR(INDEX(Pegar!$A$3:$A$1002,MATCH(293,Pegar!$B$3:$B$1002,0))&amp;IF(LEFT(INDEX(Pegar!$A$3:$A$1003,MATCH(293,Pegar!$B$3:$B$1002,0)+1),5)="DESC=",CHAR(10)&amp;INDEX(Pegar!$A$3:$A$1003,MATCH(293,Pegar!$B$3:$B$1002,0)+1),""),"")</f>
        <v/>
      </c>
      <c r="B297" s="12" t="str">
        <f aca="false">IF(TRIM(A297)="","",IFERROR(MID(SUBSTITUTE(SUBSTITUTE(A297,CHAR(10)," "),CHAR(13)," "),FIND(" MT"," "&amp;SUBSTITUTE(SUBSTITUTE(A297,CHAR(10)," "),CHAR(13)," ")),FIND(" ",SUBSTITUTE(SUBSTITUTE(A297,CHAR(10)," "),CHAR(13)," ")&amp;" ",FIND(" MT"," "&amp;SUBSTITUTE(SUBSTITUTE(A297,CHAR(10)," "),CHAR(13)," ")))-FIND(" MT"," "&amp;SUBSTITUTE(SUBSTITUTE(A297,CHAR(10)," "),CHAR(13)," "))),"MT no encontrado"))</f>
        <v/>
      </c>
      <c r="C297" s="15" t="str">
        <f aca="false">IF(TRIM(A297)="","",IF(D297="",FALSE(),SUBSTITUTE(SUBSTITUTE(SUBSTITUTE(D297,".",""),"0",""),"-","")&lt;&gt;""))</f>
        <v/>
      </c>
      <c r="D297" s="14" t="str">
        <f aca="false">IF(TRIM(A297)="","",IFERROR(MID((" "&amp;LEFT(SUBSTITUTE(A297,CHAR(13),""),FIND(CHAR(10),SUBSTITUTE(A297,CHAR(13),"")&amp;CHAR(10))-1)),(FIND("~",SUBSTITUTE(LEFT((" "&amp;LEFT(SUBSTITUTE(A297,CHAR(13),""),FIND(CHAR(10),SUBSTITUTE(A297,CHAR(13),"")&amp;CHAR(10))-1)),FIND(".",(" "&amp;LEFT(SUBSTITUTE(A297,CHAR(13),""),FIND(CHAR(10),SUBSTITUTE(A297,CHAR(13),"")&amp;CHAR(10))-1))))," ","~",LEN(LEFT((" "&amp;LEFT(SUBSTITUTE(A297,CHAR(13),""),FIND(CHAR(10),SUBSTITUTE(A297,CHAR(13),"")&amp;CHAR(10))-1)),FIND(".",(" "&amp;LEFT(SUBSTITUTE(A297,CHAR(13),""),FIND(CHAR(10),SUBSTITUTE(A297,CHAR(13),"")&amp;CHAR(10))-1)))))-LEN(SUBSTITUTE(LEFT((" "&amp;LEFT(SUBSTITUTE(A297,CHAR(13),""),FIND(CHAR(10),SUBSTITUTE(A297,CHAR(13),"")&amp;CHAR(10))-1)),FIND(".",(" "&amp;LEFT(SUBSTITUTE(A297,CHAR(13),""),FIND(CHAR(10),SUBSTITUTE(A297,CHAR(13),"")&amp;CHAR(10))-1))))," ",""))))+1),FIND(" ",(" "&amp;LEFT(SUBSTITUTE(A297,CHAR(13),""),FIND(CHAR(10),SUBSTITUTE(A297,CHAR(13),"")&amp;CHAR(10))-1))&amp;" ",FIND(".",(" "&amp;LEFT(SUBSTITUTE(A297,CHAR(13),""),FIND(CHAR(10),SUBSTITUTE(A297,CHAR(13),"")&amp;CHAR(10))-1))))-(FIND("~",SUBSTITUTE(LEFT((" "&amp;LEFT(SUBSTITUTE(A297,CHAR(13),""),FIND(CHAR(10),SUBSTITUTE(A297,CHAR(13),"")&amp;CHAR(10))-1)),FIND(".",(" "&amp;LEFT(SUBSTITUTE(A297,CHAR(13),""),FIND(CHAR(10),SUBSTITUTE(A297,CHAR(13),"")&amp;CHAR(10))-1))))," ","~",LEN(LEFT((" "&amp;LEFT(SUBSTITUTE(A297,CHAR(13),""),FIND(CHAR(10),SUBSTITUTE(A297,CHAR(13),"")&amp;CHAR(10))-1)),FIND(".",(" "&amp;LEFT(SUBSTITUTE(A297,CHAR(13),""),FIND(CHAR(10),SUBSTITUTE(A297,CHAR(13),"")&amp;CHAR(10))-1)))))-LEN(SUBSTITUTE(LEFT((" "&amp;LEFT(SUBSTITUTE(A297,CHAR(13),""),FIND(CHAR(10),SUBSTITUTE(A297,CHAR(13),"")&amp;CHAR(10))-1)),FIND(".",(" "&amp;LEFT(SUBSTITUTE(A297,CHAR(13),""),FIND(CHAR(10),SUBSTITUTE(A297,CHAR(13),"")&amp;CHAR(10))-1))))," ",""))))+1)),""))</f>
        <v/>
      </c>
    </row>
    <row r="298" customFormat="false" ht="30" hidden="false" customHeight="true" outlineLevel="0" collapsed="false">
      <c r="A298" s="11" t="str">
        <f aca="false">IFERROR(INDEX(Pegar!$A$3:$A$1002,MATCH(294,Pegar!$B$3:$B$1002,0))&amp;IF(LEFT(INDEX(Pegar!$A$3:$A$1003,MATCH(294,Pegar!$B$3:$B$1002,0)+1),5)="DESC=",CHAR(10)&amp;INDEX(Pegar!$A$3:$A$1003,MATCH(294,Pegar!$B$3:$B$1002,0)+1),""),"")</f>
        <v/>
      </c>
      <c r="B298" s="12" t="str">
        <f aca="false">IF(TRIM(A298)="","",IFERROR(MID(SUBSTITUTE(SUBSTITUTE(A298,CHAR(10)," "),CHAR(13)," "),FIND(" MT"," "&amp;SUBSTITUTE(SUBSTITUTE(A298,CHAR(10)," "),CHAR(13)," ")),FIND(" ",SUBSTITUTE(SUBSTITUTE(A298,CHAR(10)," "),CHAR(13)," ")&amp;" ",FIND(" MT"," "&amp;SUBSTITUTE(SUBSTITUTE(A298,CHAR(10)," "),CHAR(13)," ")))-FIND(" MT"," "&amp;SUBSTITUTE(SUBSTITUTE(A298,CHAR(10)," "),CHAR(13)," "))),"MT no encontrado"))</f>
        <v/>
      </c>
      <c r="C298" s="15" t="str">
        <f aca="false">IF(TRIM(A298)="","",IF(D298="",FALSE(),SUBSTITUTE(SUBSTITUTE(SUBSTITUTE(D298,".",""),"0",""),"-","")&lt;&gt;""))</f>
        <v/>
      </c>
      <c r="D298" s="14" t="str">
        <f aca="false">IF(TRIM(A298)="","",IFERROR(MID((" "&amp;LEFT(SUBSTITUTE(A298,CHAR(13),""),FIND(CHAR(10),SUBSTITUTE(A298,CHAR(13),"")&amp;CHAR(10))-1)),(FIND("~",SUBSTITUTE(LEFT((" "&amp;LEFT(SUBSTITUTE(A298,CHAR(13),""),FIND(CHAR(10),SUBSTITUTE(A298,CHAR(13),"")&amp;CHAR(10))-1)),FIND(".",(" "&amp;LEFT(SUBSTITUTE(A298,CHAR(13),""),FIND(CHAR(10),SUBSTITUTE(A298,CHAR(13),"")&amp;CHAR(10))-1))))," ","~",LEN(LEFT((" "&amp;LEFT(SUBSTITUTE(A298,CHAR(13),""),FIND(CHAR(10),SUBSTITUTE(A298,CHAR(13),"")&amp;CHAR(10))-1)),FIND(".",(" "&amp;LEFT(SUBSTITUTE(A298,CHAR(13),""),FIND(CHAR(10),SUBSTITUTE(A298,CHAR(13),"")&amp;CHAR(10))-1)))))-LEN(SUBSTITUTE(LEFT((" "&amp;LEFT(SUBSTITUTE(A298,CHAR(13),""),FIND(CHAR(10),SUBSTITUTE(A298,CHAR(13),"")&amp;CHAR(10))-1)),FIND(".",(" "&amp;LEFT(SUBSTITUTE(A298,CHAR(13),""),FIND(CHAR(10),SUBSTITUTE(A298,CHAR(13),"")&amp;CHAR(10))-1))))," ",""))))+1),FIND(" ",(" "&amp;LEFT(SUBSTITUTE(A298,CHAR(13),""),FIND(CHAR(10),SUBSTITUTE(A298,CHAR(13),"")&amp;CHAR(10))-1))&amp;" ",FIND(".",(" "&amp;LEFT(SUBSTITUTE(A298,CHAR(13),""),FIND(CHAR(10),SUBSTITUTE(A298,CHAR(13),"")&amp;CHAR(10))-1))))-(FIND("~",SUBSTITUTE(LEFT((" "&amp;LEFT(SUBSTITUTE(A298,CHAR(13),""),FIND(CHAR(10),SUBSTITUTE(A298,CHAR(13),"")&amp;CHAR(10))-1)),FIND(".",(" "&amp;LEFT(SUBSTITUTE(A298,CHAR(13),""),FIND(CHAR(10),SUBSTITUTE(A298,CHAR(13),"")&amp;CHAR(10))-1))))," ","~",LEN(LEFT((" "&amp;LEFT(SUBSTITUTE(A298,CHAR(13),""),FIND(CHAR(10),SUBSTITUTE(A298,CHAR(13),"")&amp;CHAR(10))-1)),FIND(".",(" "&amp;LEFT(SUBSTITUTE(A298,CHAR(13),""),FIND(CHAR(10),SUBSTITUTE(A298,CHAR(13),"")&amp;CHAR(10))-1)))))-LEN(SUBSTITUTE(LEFT((" "&amp;LEFT(SUBSTITUTE(A298,CHAR(13),""),FIND(CHAR(10),SUBSTITUTE(A298,CHAR(13),"")&amp;CHAR(10))-1)),FIND(".",(" "&amp;LEFT(SUBSTITUTE(A298,CHAR(13),""),FIND(CHAR(10),SUBSTITUTE(A298,CHAR(13),"")&amp;CHAR(10))-1))))," ",""))))+1)),""))</f>
        <v/>
      </c>
    </row>
    <row r="299" customFormat="false" ht="30" hidden="false" customHeight="true" outlineLevel="0" collapsed="false">
      <c r="A299" s="11" t="str">
        <f aca="false">IFERROR(INDEX(Pegar!$A$3:$A$1002,MATCH(295,Pegar!$B$3:$B$1002,0))&amp;IF(LEFT(INDEX(Pegar!$A$3:$A$1003,MATCH(295,Pegar!$B$3:$B$1002,0)+1),5)="DESC=",CHAR(10)&amp;INDEX(Pegar!$A$3:$A$1003,MATCH(295,Pegar!$B$3:$B$1002,0)+1),""),"")</f>
        <v/>
      </c>
      <c r="B299" s="12" t="str">
        <f aca="false">IF(TRIM(A299)="","",IFERROR(MID(SUBSTITUTE(SUBSTITUTE(A299,CHAR(10)," "),CHAR(13)," "),FIND(" MT"," "&amp;SUBSTITUTE(SUBSTITUTE(A299,CHAR(10)," "),CHAR(13)," ")),FIND(" ",SUBSTITUTE(SUBSTITUTE(A299,CHAR(10)," "),CHAR(13)," ")&amp;" ",FIND(" MT"," "&amp;SUBSTITUTE(SUBSTITUTE(A299,CHAR(10)," "),CHAR(13)," ")))-FIND(" MT"," "&amp;SUBSTITUTE(SUBSTITUTE(A299,CHAR(10)," "),CHAR(13)," "))),"MT no encontrado"))</f>
        <v/>
      </c>
      <c r="C299" s="15" t="str">
        <f aca="false">IF(TRIM(A299)="","",IF(D299="",FALSE(),SUBSTITUTE(SUBSTITUTE(SUBSTITUTE(D299,".",""),"0",""),"-","")&lt;&gt;""))</f>
        <v/>
      </c>
      <c r="D299" s="14" t="str">
        <f aca="false">IF(TRIM(A299)="","",IFERROR(MID((" "&amp;LEFT(SUBSTITUTE(A299,CHAR(13),""),FIND(CHAR(10),SUBSTITUTE(A299,CHAR(13),"")&amp;CHAR(10))-1)),(FIND("~",SUBSTITUTE(LEFT((" "&amp;LEFT(SUBSTITUTE(A299,CHAR(13),""),FIND(CHAR(10),SUBSTITUTE(A299,CHAR(13),"")&amp;CHAR(10))-1)),FIND(".",(" "&amp;LEFT(SUBSTITUTE(A299,CHAR(13),""),FIND(CHAR(10),SUBSTITUTE(A299,CHAR(13),"")&amp;CHAR(10))-1))))," ","~",LEN(LEFT((" "&amp;LEFT(SUBSTITUTE(A299,CHAR(13),""),FIND(CHAR(10),SUBSTITUTE(A299,CHAR(13),"")&amp;CHAR(10))-1)),FIND(".",(" "&amp;LEFT(SUBSTITUTE(A299,CHAR(13),""),FIND(CHAR(10),SUBSTITUTE(A299,CHAR(13),"")&amp;CHAR(10))-1)))))-LEN(SUBSTITUTE(LEFT((" "&amp;LEFT(SUBSTITUTE(A299,CHAR(13),""),FIND(CHAR(10),SUBSTITUTE(A299,CHAR(13),"")&amp;CHAR(10))-1)),FIND(".",(" "&amp;LEFT(SUBSTITUTE(A299,CHAR(13),""),FIND(CHAR(10),SUBSTITUTE(A299,CHAR(13),"")&amp;CHAR(10))-1))))," ",""))))+1),FIND(" ",(" "&amp;LEFT(SUBSTITUTE(A299,CHAR(13),""),FIND(CHAR(10),SUBSTITUTE(A299,CHAR(13),"")&amp;CHAR(10))-1))&amp;" ",FIND(".",(" "&amp;LEFT(SUBSTITUTE(A299,CHAR(13),""),FIND(CHAR(10),SUBSTITUTE(A299,CHAR(13),"")&amp;CHAR(10))-1))))-(FIND("~",SUBSTITUTE(LEFT((" "&amp;LEFT(SUBSTITUTE(A299,CHAR(13),""),FIND(CHAR(10),SUBSTITUTE(A299,CHAR(13),"")&amp;CHAR(10))-1)),FIND(".",(" "&amp;LEFT(SUBSTITUTE(A299,CHAR(13),""),FIND(CHAR(10),SUBSTITUTE(A299,CHAR(13),"")&amp;CHAR(10))-1))))," ","~",LEN(LEFT((" "&amp;LEFT(SUBSTITUTE(A299,CHAR(13),""),FIND(CHAR(10),SUBSTITUTE(A299,CHAR(13),"")&amp;CHAR(10))-1)),FIND(".",(" "&amp;LEFT(SUBSTITUTE(A299,CHAR(13),""),FIND(CHAR(10),SUBSTITUTE(A299,CHAR(13),"")&amp;CHAR(10))-1)))))-LEN(SUBSTITUTE(LEFT((" "&amp;LEFT(SUBSTITUTE(A299,CHAR(13),""),FIND(CHAR(10),SUBSTITUTE(A299,CHAR(13),"")&amp;CHAR(10))-1)),FIND(".",(" "&amp;LEFT(SUBSTITUTE(A299,CHAR(13),""),FIND(CHAR(10),SUBSTITUTE(A299,CHAR(13),"")&amp;CHAR(10))-1))))," ",""))))+1)),""))</f>
        <v/>
      </c>
    </row>
    <row r="300" customFormat="false" ht="30" hidden="false" customHeight="true" outlineLevel="0" collapsed="false">
      <c r="A300" s="11" t="str">
        <f aca="false">IFERROR(INDEX(Pegar!$A$3:$A$1002,MATCH(296,Pegar!$B$3:$B$1002,0))&amp;IF(LEFT(INDEX(Pegar!$A$3:$A$1003,MATCH(296,Pegar!$B$3:$B$1002,0)+1),5)="DESC=",CHAR(10)&amp;INDEX(Pegar!$A$3:$A$1003,MATCH(296,Pegar!$B$3:$B$1002,0)+1),""),"")</f>
        <v/>
      </c>
      <c r="B300" s="12" t="str">
        <f aca="false">IF(TRIM(A300)="","",IFERROR(MID(SUBSTITUTE(SUBSTITUTE(A300,CHAR(10)," "),CHAR(13)," "),FIND(" MT"," "&amp;SUBSTITUTE(SUBSTITUTE(A300,CHAR(10)," "),CHAR(13)," ")),FIND(" ",SUBSTITUTE(SUBSTITUTE(A300,CHAR(10)," "),CHAR(13)," ")&amp;" ",FIND(" MT"," "&amp;SUBSTITUTE(SUBSTITUTE(A300,CHAR(10)," "),CHAR(13)," ")))-FIND(" MT"," "&amp;SUBSTITUTE(SUBSTITUTE(A300,CHAR(10)," "),CHAR(13)," "))),"MT no encontrado"))</f>
        <v/>
      </c>
      <c r="C300" s="15" t="str">
        <f aca="false">IF(TRIM(A300)="","",IF(D300="",FALSE(),SUBSTITUTE(SUBSTITUTE(SUBSTITUTE(D300,".",""),"0",""),"-","")&lt;&gt;""))</f>
        <v/>
      </c>
      <c r="D300" s="14" t="str">
        <f aca="false">IF(TRIM(A300)="","",IFERROR(MID((" "&amp;LEFT(SUBSTITUTE(A300,CHAR(13),""),FIND(CHAR(10),SUBSTITUTE(A300,CHAR(13),"")&amp;CHAR(10))-1)),(FIND("~",SUBSTITUTE(LEFT((" "&amp;LEFT(SUBSTITUTE(A300,CHAR(13),""),FIND(CHAR(10),SUBSTITUTE(A300,CHAR(13),"")&amp;CHAR(10))-1)),FIND(".",(" "&amp;LEFT(SUBSTITUTE(A300,CHAR(13),""),FIND(CHAR(10),SUBSTITUTE(A300,CHAR(13),"")&amp;CHAR(10))-1))))," ","~",LEN(LEFT((" "&amp;LEFT(SUBSTITUTE(A300,CHAR(13),""),FIND(CHAR(10),SUBSTITUTE(A300,CHAR(13),"")&amp;CHAR(10))-1)),FIND(".",(" "&amp;LEFT(SUBSTITUTE(A300,CHAR(13),""),FIND(CHAR(10),SUBSTITUTE(A300,CHAR(13),"")&amp;CHAR(10))-1)))))-LEN(SUBSTITUTE(LEFT((" "&amp;LEFT(SUBSTITUTE(A300,CHAR(13),""),FIND(CHAR(10),SUBSTITUTE(A300,CHAR(13),"")&amp;CHAR(10))-1)),FIND(".",(" "&amp;LEFT(SUBSTITUTE(A300,CHAR(13),""),FIND(CHAR(10),SUBSTITUTE(A300,CHAR(13),"")&amp;CHAR(10))-1))))," ",""))))+1),FIND(" ",(" "&amp;LEFT(SUBSTITUTE(A300,CHAR(13),""),FIND(CHAR(10),SUBSTITUTE(A300,CHAR(13),"")&amp;CHAR(10))-1))&amp;" ",FIND(".",(" "&amp;LEFT(SUBSTITUTE(A300,CHAR(13),""),FIND(CHAR(10),SUBSTITUTE(A300,CHAR(13),"")&amp;CHAR(10))-1))))-(FIND("~",SUBSTITUTE(LEFT((" "&amp;LEFT(SUBSTITUTE(A300,CHAR(13),""),FIND(CHAR(10),SUBSTITUTE(A300,CHAR(13),"")&amp;CHAR(10))-1)),FIND(".",(" "&amp;LEFT(SUBSTITUTE(A300,CHAR(13),""),FIND(CHAR(10),SUBSTITUTE(A300,CHAR(13),"")&amp;CHAR(10))-1))))," ","~",LEN(LEFT((" "&amp;LEFT(SUBSTITUTE(A300,CHAR(13),""),FIND(CHAR(10),SUBSTITUTE(A300,CHAR(13),"")&amp;CHAR(10))-1)),FIND(".",(" "&amp;LEFT(SUBSTITUTE(A300,CHAR(13),""),FIND(CHAR(10),SUBSTITUTE(A300,CHAR(13),"")&amp;CHAR(10))-1)))))-LEN(SUBSTITUTE(LEFT((" "&amp;LEFT(SUBSTITUTE(A300,CHAR(13),""),FIND(CHAR(10),SUBSTITUTE(A300,CHAR(13),"")&amp;CHAR(10))-1)),FIND(".",(" "&amp;LEFT(SUBSTITUTE(A300,CHAR(13),""),FIND(CHAR(10),SUBSTITUTE(A300,CHAR(13),"")&amp;CHAR(10))-1))))," ",""))))+1)),""))</f>
        <v/>
      </c>
    </row>
    <row r="301" customFormat="false" ht="30" hidden="false" customHeight="true" outlineLevel="0" collapsed="false">
      <c r="A301" s="11" t="str">
        <f aca="false">IFERROR(INDEX(Pegar!$A$3:$A$1002,MATCH(297,Pegar!$B$3:$B$1002,0))&amp;IF(LEFT(INDEX(Pegar!$A$3:$A$1003,MATCH(297,Pegar!$B$3:$B$1002,0)+1),5)="DESC=",CHAR(10)&amp;INDEX(Pegar!$A$3:$A$1003,MATCH(297,Pegar!$B$3:$B$1002,0)+1),""),"")</f>
        <v/>
      </c>
      <c r="B301" s="12" t="str">
        <f aca="false">IF(TRIM(A301)="","",IFERROR(MID(SUBSTITUTE(SUBSTITUTE(A301,CHAR(10)," "),CHAR(13)," "),FIND(" MT"," "&amp;SUBSTITUTE(SUBSTITUTE(A301,CHAR(10)," "),CHAR(13)," ")),FIND(" ",SUBSTITUTE(SUBSTITUTE(A301,CHAR(10)," "),CHAR(13)," ")&amp;" ",FIND(" MT"," "&amp;SUBSTITUTE(SUBSTITUTE(A301,CHAR(10)," "),CHAR(13)," ")))-FIND(" MT"," "&amp;SUBSTITUTE(SUBSTITUTE(A301,CHAR(10)," "),CHAR(13)," "))),"MT no encontrado"))</f>
        <v/>
      </c>
      <c r="C301" s="15" t="str">
        <f aca="false">IF(TRIM(A301)="","",IF(D301="",FALSE(),SUBSTITUTE(SUBSTITUTE(SUBSTITUTE(D301,".",""),"0",""),"-","")&lt;&gt;""))</f>
        <v/>
      </c>
      <c r="D301" s="14" t="str">
        <f aca="false">IF(TRIM(A301)="","",IFERROR(MID((" "&amp;LEFT(SUBSTITUTE(A301,CHAR(13),""),FIND(CHAR(10),SUBSTITUTE(A301,CHAR(13),"")&amp;CHAR(10))-1)),(FIND("~",SUBSTITUTE(LEFT((" "&amp;LEFT(SUBSTITUTE(A301,CHAR(13),""),FIND(CHAR(10),SUBSTITUTE(A301,CHAR(13),"")&amp;CHAR(10))-1)),FIND(".",(" "&amp;LEFT(SUBSTITUTE(A301,CHAR(13),""),FIND(CHAR(10),SUBSTITUTE(A301,CHAR(13),"")&amp;CHAR(10))-1))))," ","~",LEN(LEFT((" "&amp;LEFT(SUBSTITUTE(A301,CHAR(13),""),FIND(CHAR(10),SUBSTITUTE(A301,CHAR(13),"")&amp;CHAR(10))-1)),FIND(".",(" "&amp;LEFT(SUBSTITUTE(A301,CHAR(13),""),FIND(CHAR(10),SUBSTITUTE(A301,CHAR(13),"")&amp;CHAR(10))-1)))))-LEN(SUBSTITUTE(LEFT((" "&amp;LEFT(SUBSTITUTE(A301,CHAR(13),""),FIND(CHAR(10),SUBSTITUTE(A301,CHAR(13),"")&amp;CHAR(10))-1)),FIND(".",(" "&amp;LEFT(SUBSTITUTE(A301,CHAR(13),""),FIND(CHAR(10),SUBSTITUTE(A301,CHAR(13),"")&amp;CHAR(10))-1))))," ",""))))+1),FIND(" ",(" "&amp;LEFT(SUBSTITUTE(A301,CHAR(13),""),FIND(CHAR(10),SUBSTITUTE(A301,CHAR(13),"")&amp;CHAR(10))-1))&amp;" ",FIND(".",(" "&amp;LEFT(SUBSTITUTE(A301,CHAR(13),""),FIND(CHAR(10),SUBSTITUTE(A301,CHAR(13),"")&amp;CHAR(10))-1))))-(FIND("~",SUBSTITUTE(LEFT((" "&amp;LEFT(SUBSTITUTE(A301,CHAR(13),""),FIND(CHAR(10),SUBSTITUTE(A301,CHAR(13),"")&amp;CHAR(10))-1)),FIND(".",(" "&amp;LEFT(SUBSTITUTE(A301,CHAR(13),""),FIND(CHAR(10),SUBSTITUTE(A301,CHAR(13),"")&amp;CHAR(10))-1))))," ","~",LEN(LEFT((" "&amp;LEFT(SUBSTITUTE(A301,CHAR(13),""),FIND(CHAR(10),SUBSTITUTE(A301,CHAR(13),"")&amp;CHAR(10))-1)),FIND(".",(" "&amp;LEFT(SUBSTITUTE(A301,CHAR(13),""),FIND(CHAR(10),SUBSTITUTE(A301,CHAR(13),"")&amp;CHAR(10))-1)))))-LEN(SUBSTITUTE(LEFT((" "&amp;LEFT(SUBSTITUTE(A301,CHAR(13),""),FIND(CHAR(10),SUBSTITUTE(A301,CHAR(13),"")&amp;CHAR(10))-1)),FIND(".",(" "&amp;LEFT(SUBSTITUTE(A301,CHAR(13),""),FIND(CHAR(10),SUBSTITUTE(A301,CHAR(13),"")&amp;CHAR(10))-1))))," ",""))))+1)),""))</f>
        <v/>
      </c>
    </row>
    <row r="302" customFormat="false" ht="30" hidden="false" customHeight="true" outlineLevel="0" collapsed="false">
      <c r="A302" s="11" t="str">
        <f aca="false">IFERROR(INDEX(Pegar!$A$3:$A$1002,MATCH(298,Pegar!$B$3:$B$1002,0))&amp;IF(LEFT(INDEX(Pegar!$A$3:$A$1003,MATCH(298,Pegar!$B$3:$B$1002,0)+1),5)="DESC=",CHAR(10)&amp;INDEX(Pegar!$A$3:$A$1003,MATCH(298,Pegar!$B$3:$B$1002,0)+1),""),"")</f>
        <v/>
      </c>
      <c r="B302" s="12" t="str">
        <f aca="false">IF(TRIM(A302)="","",IFERROR(MID(SUBSTITUTE(SUBSTITUTE(A302,CHAR(10)," "),CHAR(13)," "),FIND(" MT"," "&amp;SUBSTITUTE(SUBSTITUTE(A302,CHAR(10)," "),CHAR(13)," ")),FIND(" ",SUBSTITUTE(SUBSTITUTE(A302,CHAR(10)," "),CHAR(13)," ")&amp;" ",FIND(" MT"," "&amp;SUBSTITUTE(SUBSTITUTE(A302,CHAR(10)," "),CHAR(13)," ")))-FIND(" MT"," "&amp;SUBSTITUTE(SUBSTITUTE(A302,CHAR(10)," "),CHAR(13)," "))),"MT no encontrado"))</f>
        <v/>
      </c>
      <c r="C302" s="15" t="str">
        <f aca="false">IF(TRIM(A302)="","",IF(D302="",FALSE(),SUBSTITUTE(SUBSTITUTE(SUBSTITUTE(D302,".",""),"0",""),"-","")&lt;&gt;""))</f>
        <v/>
      </c>
      <c r="D302" s="14" t="str">
        <f aca="false">IF(TRIM(A302)="","",IFERROR(MID((" "&amp;LEFT(SUBSTITUTE(A302,CHAR(13),""),FIND(CHAR(10),SUBSTITUTE(A302,CHAR(13),"")&amp;CHAR(10))-1)),(FIND("~",SUBSTITUTE(LEFT((" "&amp;LEFT(SUBSTITUTE(A302,CHAR(13),""),FIND(CHAR(10),SUBSTITUTE(A302,CHAR(13),"")&amp;CHAR(10))-1)),FIND(".",(" "&amp;LEFT(SUBSTITUTE(A302,CHAR(13),""),FIND(CHAR(10),SUBSTITUTE(A302,CHAR(13),"")&amp;CHAR(10))-1))))," ","~",LEN(LEFT((" "&amp;LEFT(SUBSTITUTE(A302,CHAR(13),""),FIND(CHAR(10),SUBSTITUTE(A302,CHAR(13),"")&amp;CHAR(10))-1)),FIND(".",(" "&amp;LEFT(SUBSTITUTE(A302,CHAR(13),""),FIND(CHAR(10),SUBSTITUTE(A302,CHAR(13),"")&amp;CHAR(10))-1)))))-LEN(SUBSTITUTE(LEFT((" "&amp;LEFT(SUBSTITUTE(A302,CHAR(13),""),FIND(CHAR(10),SUBSTITUTE(A302,CHAR(13),"")&amp;CHAR(10))-1)),FIND(".",(" "&amp;LEFT(SUBSTITUTE(A302,CHAR(13),""),FIND(CHAR(10),SUBSTITUTE(A302,CHAR(13),"")&amp;CHAR(10))-1))))," ",""))))+1),FIND(" ",(" "&amp;LEFT(SUBSTITUTE(A302,CHAR(13),""),FIND(CHAR(10),SUBSTITUTE(A302,CHAR(13),"")&amp;CHAR(10))-1))&amp;" ",FIND(".",(" "&amp;LEFT(SUBSTITUTE(A302,CHAR(13),""),FIND(CHAR(10),SUBSTITUTE(A302,CHAR(13),"")&amp;CHAR(10))-1))))-(FIND("~",SUBSTITUTE(LEFT((" "&amp;LEFT(SUBSTITUTE(A302,CHAR(13),""),FIND(CHAR(10),SUBSTITUTE(A302,CHAR(13),"")&amp;CHAR(10))-1)),FIND(".",(" "&amp;LEFT(SUBSTITUTE(A302,CHAR(13),""),FIND(CHAR(10),SUBSTITUTE(A302,CHAR(13),"")&amp;CHAR(10))-1))))," ","~",LEN(LEFT((" "&amp;LEFT(SUBSTITUTE(A302,CHAR(13),""),FIND(CHAR(10),SUBSTITUTE(A302,CHAR(13),"")&amp;CHAR(10))-1)),FIND(".",(" "&amp;LEFT(SUBSTITUTE(A302,CHAR(13),""),FIND(CHAR(10),SUBSTITUTE(A302,CHAR(13),"")&amp;CHAR(10))-1)))))-LEN(SUBSTITUTE(LEFT((" "&amp;LEFT(SUBSTITUTE(A302,CHAR(13),""),FIND(CHAR(10),SUBSTITUTE(A302,CHAR(13),"")&amp;CHAR(10))-1)),FIND(".",(" "&amp;LEFT(SUBSTITUTE(A302,CHAR(13),""),FIND(CHAR(10),SUBSTITUTE(A302,CHAR(13),"")&amp;CHAR(10))-1))))," ",""))))+1)),""))</f>
        <v/>
      </c>
    </row>
    <row r="303" customFormat="false" ht="30" hidden="false" customHeight="true" outlineLevel="0" collapsed="false">
      <c r="A303" s="11" t="str">
        <f aca="false">IFERROR(INDEX(Pegar!$A$3:$A$1002,MATCH(299,Pegar!$B$3:$B$1002,0))&amp;IF(LEFT(INDEX(Pegar!$A$3:$A$1003,MATCH(299,Pegar!$B$3:$B$1002,0)+1),5)="DESC=",CHAR(10)&amp;INDEX(Pegar!$A$3:$A$1003,MATCH(299,Pegar!$B$3:$B$1002,0)+1),""),"")</f>
        <v/>
      </c>
      <c r="B303" s="12" t="str">
        <f aca="false">IF(TRIM(A303)="","",IFERROR(MID(SUBSTITUTE(SUBSTITUTE(A303,CHAR(10)," "),CHAR(13)," "),FIND(" MT"," "&amp;SUBSTITUTE(SUBSTITUTE(A303,CHAR(10)," "),CHAR(13)," ")),FIND(" ",SUBSTITUTE(SUBSTITUTE(A303,CHAR(10)," "),CHAR(13)," ")&amp;" ",FIND(" MT"," "&amp;SUBSTITUTE(SUBSTITUTE(A303,CHAR(10)," "),CHAR(13)," ")))-FIND(" MT"," "&amp;SUBSTITUTE(SUBSTITUTE(A303,CHAR(10)," "),CHAR(13)," "))),"MT no encontrado"))</f>
        <v/>
      </c>
      <c r="C303" s="15" t="str">
        <f aca="false">IF(TRIM(A303)="","",IF(D303="",FALSE(),SUBSTITUTE(SUBSTITUTE(SUBSTITUTE(D303,".",""),"0",""),"-","")&lt;&gt;""))</f>
        <v/>
      </c>
      <c r="D303" s="14" t="str">
        <f aca="false">IF(TRIM(A303)="","",IFERROR(MID((" "&amp;LEFT(SUBSTITUTE(A303,CHAR(13),""),FIND(CHAR(10),SUBSTITUTE(A303,CHAR(13),"")&amp;CHAR(10))-1)),(FIND("~",SUBSTITUTE(LEFT((" "&amp;LEFT(SUBSTITUTE(A303,CHAR(13),""),FIND(CHAR(10),SUBSTITUTE(A303,CHAR(13),"")&amp;CHAR(10))-1)),FIND(".",(" "&amp;LEFT(SUBSTITUTE(A303,CHAR(13),""),FIND(CHAR(10),SUBSTITUTE(A303,CHAR(13),"")&amp;CHAR(10))-1))))," ","~",LEN(LEFT((" "&amp;LEFT(SUBSTITUTE(A303,CHAR(13),""),FIND(CHAR(10),SUBSTITUTE(A303,CHAR(13),"")&amp;CHAR(10))-1)),FIND(".",(" "&amp;LEFT(SUBSTITUTE(A303,CHAR(13),""),FIND(CHAR(10),SUBSTITUTE(A303,CHAR(13),"")&amp;CHAR(10))-1)))))-LEN(SUBSTITUTE(LEFT((" "&amp;LEFT(SUBSTITUTE(A303,CHAR(13),""),FIND(CHAR(10),SUBSTITUTE(A303,CHAR(13),"")&amp;CHAR(10))-1)),FIND(".",(" "&amp;LEFT(SUBSTITUTE(A303,CHAR(13),""),FIND(CHAR(10),SUBSTITUTE(A303,CHAR(13),"")&amp;CHAR(10))-1))))," ",""))))+1),FIND(" ",(" "&amp;LEFT(SUBSTITUTE(A303,CHAR(13),""),FIND(CHAR(10),SUBSTITUTE(A303,CHAR(13),"")&amp;CHAR(10))-1))&amp;" ",FIND(".",(" "&amp;LEFT(SUBSTITUTE(A303,CHAR(13),""),FIND(CHAR(10),SUBSTITUTE(A303,CHAR(13),"")&amp;CHAR(10))-1))))-(FIND("~",SUBSTITUTE(LEFT((" "&amp;LEFT(SUBSTITUTE(A303,CHAR(13),""),FIND(CHAR(10),SUBSTITUTE(A303,CHAR(13),"")&amp;CHAR(10))-1)),FIND(".",(" "&amp;LEFT(SUBSTITUTE(A303,CHAR(13),""),FIND(CHAR(10),SUBSTITUTE(A303,CHAR(13),"")&amp;CHAR(10))-1))))," ","~",LEN(LEFT((" "&amp;LEFT(SUBSTITUTE(A303,CHAR(13),""),FIND(CHAR(10),SUBSTITUTE(A303,CHAR(13),"")&amp;CHAR(10))-1)),FIND(".",(" "&amp;LEFT(SUBSTITUTE(A303,CHAR(13),""),FIND(CHAR(10),SUBSTITUTE(A303,CHAR(13),"")&amp;CHAR(10))-1)))))-LEN(SUBSTITUTE(LEFT((" "&amp;LEFT(SUBSTITUTE(A303,CHAR(13),""),FIND(CHAR(10),SUBSTITUTE(A303,CHAR(13),"")&amp;CHAR(10))-1)),FIND(".",(" "&amp;LEFT(SUBSTITUTE(A303,CHAR(13),""),FIND(CHAR(10),SUBSTITUTE(A303,CHAR(13),"")&amp;CHAR(10))-1))))," ",""))))+1)),""))</f>
        <v/>
      </c>
    </row>
    <row r="304" customFormat="false" ht="30" hidden="false" customHeight="true" outlineLevel="0" collapsed="false">
      <c r="A304" s="11" t="str">
        <f aca="false">IFERROR(INDEX(Pegar!$A$3:$A$1002,MATCH(300,Pegar!$B$3:$B$1002,0))&amp;IF(LEFT(INDEX(Pegar!$A$3:$A$1003,MATCH(300,Pegar!$B$3:$B$1002,0)+1),5)="DESC=",CHAR(10)&amp;INDEX(Pegar!$A$3:$A$1003,MATCH(300,Pegar!$B$3:$B$1002,0)+1),""),"")</f>
        <v/>
      </c>
      <c r="B304" s="12" t="str">
        <f aca="false">IF(TRIM(A304)="","",IFERROR(MID(SUBSTITUTE(SUBSTITUTE(A304,CHAR(10)," "),CHAR(13)," "),FIND(" MT"," "&amp;SUBSTITUTE(SUBSTITUTE(A304,CHAR(10)," "),CHAR(13)," ")),FIND(" ",SUBSTITUTE(SUBSTITUTE(A304,CHAR(10)," "),CHAR(13)," ")&amp;" ",FIND(" MT"," "&amp;SUBSTITUTE(SUBSTITUTE(A304,CHAR(10)," "),CHAR(13)," ")))-FIND(" MT"," "&amp;SUBSTITUTE(SUBSTITUTE(A304,CHAR(10)," "),CHAR(13)," "))),"MT no encontrado"))</f>
        <v/>
      </c>
      <c r="C304" s="15" t="str">
        <f aca="false">IF(TRIM(A304)="","",IF(D304="",FALSE(),SUBSTITUTE(SUBSTITUTE(SUBSTITUTE(D304,".",""),"0",""),"-","")&lt;&gt;""))</f>
        <v/>
      </c>
      <c r="D304" s="14" t="str">
        <f aca="false">IF(TRIM(A304)="","",IFERROR(MID((" "&amp;LEFT(SUBSTITUTE(A304,CHAR(13),""),FIND(CHAR(10),SUBSTITUTE(A304,CHAR(13),"")&amp;CHAR(10))-1)),(FIND("~",SUBSTITUTE(LEFT((" "&amp;LEFT(SUBSTITUTE(A304,CHAR(13),""),FIND(CHAR(10),SUBSTITUTE(A304,CHAR(13),"")&amp;CHAR(10))-1)),FIND(".",(" "&amp;LEFT(SUBSTITUTE(A304,CHAR(13),""),FIND(CHAR(10),SUBSTITUTE(A304,CHAR(13),"")&amp;CHAR(10))-1))))," ","~",LEN(LEFT((" "&amp;LEFT(SUBSTITUTE(A304,CHAR(13),""),FIND(CHAR(10),SUBSTITUTE(A304,CHAR(13),"")&amp;CHAR(10))-1)),FIND(".",(" "&amp;LEFT(SUBSTITUTE(A304,CHAR(13),""),FIND(CHAR(10),SUBSTITUTE(A304,CHAR(13),"")&amp;CHAR(10))-1)))))-LEN(SUBSTITUTE(LEFT((" "&amp;LEFT(SUBSTITUTE(A304,CHAR(13),""),FIND(CHAR(10),SUBSTITUTE(A304,CHAR(13),"")&amp;CHAR(10))-1)),FIND(".",(" "&amp;LEFT(SUBSTITUTE(A304,CHAR(13),""),FIND(CHAR(10),SUBSTITUTE(A304,CHAR(13),"")&amp;CHAR(10))-1))))," ",""))))+1),FIND(" ",(" "&amp;LEFT(SUBSTITUTE(A304,CHAR(13),""),FIND(CHAR(10),SUBSTITUTE(A304,CHAR(13),"")&amp;CHAR(10))-1))&amp;" ",FIND(".",(" "&amp;LEFT(SUBSTITUTE(A304,CHAR(13),""),FIND(CHAR(10),SUBSTITUTE(A304,CHAR(13),"")&amp;CHAR(10))-1))))-(FIND("~",SUBSTITUTE(LEFT((" "&amp;LEFT(SUBSTITUTE(A304,CHAR(13),""),FIND(CHAR(10),SUBSTITUTE(A304,CHAR(13),"")&amp;CHAR(10))-1)),FIND(".",(" "&amp;LEFT(SUBSTITUTE(A304,CHAR(13),""),FIND(CHAR(10),SUBSTITUTE(A304,CHAR(13),"")&amp;CHAR(10))-1))))," ","~",LEN(LEFT((" "&amp;LEFT(SUBSTITUTE(A304,CHAR(13),""),FIND(CHAR(10),SUBSTITUTE(A304,CHAR(13),"")&amp;CHAR(10))-1)),FIND(".",(" "&amp;LEFT(SUBSTITUTE(A304,CHAR(13),""),FIND(CHAR(10),SUBSTITUTE(A304,CHAR(13),"")&amp;CHAR(10))-1)))))-LEN(SUBSTITUTE(LEFT((" "&amp;LEFT(SUBSTITUTE(A304,CHAR(13),""),FIND(CHAR(10),SUBSTITUTE(A304,CHAR(13),"")&amp;CHAR(10))-1)),FIND(".",(" "&amp;LEFT(SUBSTITUTE(A304,CHAR(13),""),FIND(CHAR(10),SUBSTITUTE(A304,CHAR(13),"")&amp;CHAR(10))-1))))," ",""))))+1)),""))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2026-09-30T01:39:46Z</dcterms:created>
  <dc:creator>openpyxl</dc:creator>
  <dc:description/>
  <dc:language>en-US</dc:language>
  <cp:lastModifiedBy/>
  <dcterms:modified xsi:type="dcterms:W3CDTF">2026-09-30T02:53:58Z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